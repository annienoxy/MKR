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Анна\Desktop\ММС\"/>
    </mc:Choice>
  </mc:AlternateContent>
  <xr:revisionPtr revIDLastSave="0" documentId="13_ncr:1_{FDAB59D0-2E2C-4C47-B002-644AD60A940D}" xr6:coauthVersionLast="45" xr6:coauthVersionMax="45" xr10:uidLastSave="{00000000-0000-0000-0000-000000000000}"/>
  <bookViews>
    <workbookView xWindow="-120" yWindow="-120" windowWidth="29040" windowHeight="15840" activeTab="2" xr2:uid="{885CC974-4789-4D47-B53D-A81671E4B51C}"/>
  </bookViews>
  <sheets>
    <sheet name="Лист1" sheetId="1" r:id="rId1"/>
    <sheet name="Лист2" sheetId="2" r:id="rId2"/>
    <sheet name="Лист3" sheetId="3" r:id="rId3"/>
    <sheet name="Лист4" sheetId="4" r:id="rId4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5" i="2" l="1"/>
  <c r="G8" i="2" s="1"/>
  <c r="G5" i="4"/>
  <c r="AI7" i="2" l="1"/>
  <c r="I2" i="4"/>
  <c r="J2" i="4" s="1"/>
  <c r="K2" i="4" s="1"/>
  <c r="L2" i="4" s="1"/>
  <c r="M2" i="4" s="1"/>
  <c r="N2" i="4" s="1"/>
  <c r="O2" i="4" s="1"/>
  <c r="P2" i="4" s="1"/>
  <c r="Q2" i="4" s="1"/>
  <c r="R2" i="4" s="1"/>
  <c r="S2" i="4" s="1"/>
  <c r="T2" i="4" s="1"/>
  <c r="U2" i="4" s="1"/>
  <c r="V2" i="4" s="1"/>
  <c r="X2" i="4" s="1"/>
  <c r="Y2" i="4" s="1"/>
  <c r="Z2" i="4" s="1"/>
  <c r="AA2" i="4" s="1"/>
  <c r="AB2" i="4" s="1"/>
  <c r="AC2" i="4" s="1"/>
  <c r="AD2" i="4" s="1"/>
  <c r="AE2" i="4" s="1"/>
  <c r="AF2" i="4" s="1"/>
  <c r="AG2" i="4" s="1"/>
  <c r="AH2" i="4" s="1"/>
  <c r="AI2" i="4" s="1"/>
  <c r="AJ2" i="4" s="1"/>
  <c r="AK2" i="4" s="1"/>
  <c r="AL2" i="4" s="1"/>
  <c r="H2" i="4"/>
  <c r="U7" i="4" l="1"/>
  <c r="I7" i="4" l="1"/>
  <c r="V8" i="4"/>
  <c r="W8" i="4" s="1"/>
  <c r="G8" i="4"/>
  <c r="Y7" i="4"/>
  <c r="Z7" i="4"/>
  <c r="AA7" i="4"/>
  <c r="AB7" i="4"/>
  <c r="AC7" i="4"/>
  <c r="AD7" i="4"/>
  <c r="AE7" i="4"/>
  <c r="AF7" i="4"/>
  <c r="AG7" i="4"/>
  <c r="AH7" i="4"/>
  <c r="AI7" i="4"/>
  <c r="AJ7" i="4"/>
  <c r="AK7" i="4"/>
  <c r="X7" i="4"/>
  <c r="J7" i="4"/>
  <c r="K7" i="4"/>
  <c r="L7" i="4"/>
  <c r="M7" i="4"/>
  <c r="N7" i="4"/>
  <c r="O7" i="4"/>
  <c r="P7" i="4"/>
  <c r="Q7" i="4"/>
  <c r="R7" i="4"/>
  <c r="S7" i="4"/>
  <c r="T7" i="4"/>
  <c r="I8" i="4"/>
  <c r="J8" i="4"/>
  <c r="K8" i="4"/>
  <c r="L8" i="4"/>
  <c r="M8" i="4"/>
  <c r="N8" i="4"/>
  <c r="O8" i="4"/>
  <c r="P8" i="4"/>
  <c r="Q8" i="4"/>
  <c r="R8" i="4"/>
  <c r="S8" i="4"/>
  <c r="T8" i="4"/>
  <c r="U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AL8" i="4"/>
  <c r="X8" i="4"/>
  <c r="Y4" i="4"/>
  <c r="Z4" i="4" s="1"/>
  <c r="AA4" i="4" s="1"/>
  <c r="AB4" i="4" s="1"/>
  <c r="AC4" i="4" s="1"/>
  <c r="AD4" i="4" s="1"/>
  <c r="AE4" i="4" s="1"/>
  <c r="AF4" i="4" s="1"/>
  <c r="AG4" i="4" s="1"/>
  <c r="AH4" i="4" s="1"/>
  <c r="AI4" i="4" s="1"/>
  <c r="AJ4" i="4" s="1"/>
  <c r="AK4" i="4" s="1"/>
  <c r="AL4" i="4" s="1"/>
  <c r="X4" i="4"/>
  <c r="C3" i="4"/>
  <c r="C4" i="4" s="1"/>
  <c r="B3" i="4"/>
  <c r="H4" i="4" s="1"/>
  <c r="I4" i="4" s="1"/>
  <c r="J4" i="4" s="1"/>
  <c r="K4" i="4" s="1"/>
  <c r="L4" i="4" s="1"/>
  <c r="M4" i="4" s="1"/>
  <c r="N4" i="4" s="1"/>
  <c r="O4" i="4" s="1"/>
  <c r="P4" i="4" s="1"/>
  <c r="Q4" i="4" s="1"/>
  <c r="R4" i="4" s="1"/>
  <c r="S4" i="4" s="1"/>
  <c r="T4" i="4" s="1"/>
  <c r="U4" i="4" s="1"/>
  <c r="V4" i="4" s="1"/>
  <c r="B4" i="4"/>
  <c r="AI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B3" i="3" l="1"/>
  <c r="G4" i="3" l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AA4" i="3" s="1"/>
  <c r="AB4" i="3" s="1"/>
  <c r="AC4" i="3" s="1"/>
  <c r="AD4" i="3" s="1"/>
  <c r="AE4" i="3" s="1"/>
  <c r="AF4" i="3" s="1"/>
  <c r="AG4" i="3" s="1"/>
  <c r="AH4" i="3" s="1"/>
  <c r="AI4" i="3" s="1"/>
  <c r="AJ4" i="3" s="1"/>
  <c r="B4" i="3"/>
  <c r="B4" i="1"/>
  <c r="H8" i="2" l="1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F8" i="2"/>
  <c r="AJ5" i="2"/>
  <c r="B3" i="2"/>
  <c r="B4" i="2" s="1"/>
  <c r="F5" i="1"/>
  <c r="AA7" i="2" l="1"/>
  <c r="S7" i="2"/>
  <c r="K7" i="2"/>
  <c r="M7" i="2"/>
  <c r="AB7" i="2"/>
  <c r="AH7" i="2"/>
  <c r="Z7" i="2"/>
  <c r="R7" i="2"/>
  <c r="J7" i="2"/>
  <c r="U7" i="2"/>
  <c r="AG7" i="2"/>
  <c r="Y7" i="2"/>
  <c r="Q7" i="2"/>
  <c r="I7" i="2"/>
  <c r="V7" i="2"/>
  <c r="L7" i="2"/>
  <c r="AF7" i="2"/>
  <c r="X7" i="2"/>
  <c r="P7" i="2"/>
  <c r="H7" i="2"/>
  <c r="AE7" i="2"/>
  <c r="W7" i="2"/>
  <c r="O7" i="2"/>
  <c r="G7" i="2"/>
  <c r="AD7" i="2"/>
  <c r="N7" i="2"/>
  <c r="AC7" i="2"/>
  <c r="T7" i="2"/>
  <c r="G4" i="2"/>
  <c r="H4" i="2" s="1"/>
  <c r="I4" i="2" s="1"/>
  <c r="J4" i="2" s="1"/>
  <c r="K4" i="2" s="1"/>
  <c r="L4" i="2" s="1"/>
  <c r="M4" i="2" s="1"/>
  <c r="N4" i="2" s="1"/>
  <c r="O4" i="2" s="1"/>
  <c r="P4" i="2" s="1"/>
  <c r="Q4" i="2" s="1"/>
  <c r="R4" i="2" s="1"/>
  <c r="S4" i="2" s="1"/>
  <c r="T4" i="2" s="1"/>
  <c r="U4" i="2" s="1"/>
  <c r="V4" i="2" s="1"/>
  <c r="W4" i="2" s="1"/>
  <c r="X4" i="2" s="1"/>
  <c r="Y4" i="2" s="1"/>
  <c r="Z4" i="2" s="1"/>
  <c r="AA4" i="2" s="1"/>
  <c r="AB4" i="2" s="1"/>
  <c r="AC4" i="2" s="1"/>
  <c r="AD4" i="2" s="1"/>
  <c r="AE4" i="2" s="1"/>
  <c r="AF4" i="2" s="1"/>
  <c r="AG4" i="2" s="1"/>
  <c r="AH4" i="2" s="1"/>
  <c r="AI4" i="2" s="1"/>
  <c r="AJ4" i="2" s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G7" i="1"/>
  <c r="AJ5" i="1"/>
  <c r="B3" i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H8" i="4" l="1"/>
  <c r="H7" i="4"/>
</calcChain>
</file>

<file path=xl/sharedStrings.xml><?xml version="1.0" encoding="utf-8"?>
<sst xmlns="http://schemas.openxmlformats.org/spreadsheetml/2006/main" count="54" uniqueCount="17">
  <si>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</si>
  <si>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</si>
  <si>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</si>
  <si>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</si>
  <si>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</si>
  <si>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</si>
  <si>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</si>
  <si>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</si>
  <si>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</si>
  <si>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</si>
  <si>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</si>
  <si>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q_iter</t>
  </si>
  <si>
    <t>q_start</t>
  </si>
  <si>
    <t xml:space="preserve">alhpa </t>
  </si>
  <si>
    <t>t_atm</t>
  </si>
  <si>
    <t>T_справа100</t>
  </si>
  <si>
    <t>T_слева300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</si>
</sst>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gradientFill degree="135">
        <stop position="0">
          <color theme="0"/>
        </stop>
        <stop position="0.5">
          <color rgb="FFCC99FF"/>
        </stop>
        <stop position="1">
          <color theme="0"/>
        </stop>
      </gradientFill>
    </fill>
    <fill>
      <gradientFill degree="45">
        <stop position="0">
          <color theme="0"/>
        </stop>
        <stop position="0.5">
          <color rgb="FFCC99FF"/>
        </stop>
        <stop position="1">
          <color theme="0"/>
        </stop>
      </gradientFill>
    </fill>
    <fill>
      <patternFill patternType="solid">
        <fgColor rgb="FFCC99FF"/>
        <bgColor auto="1"/>
      </patternFill>
    </fill>
    <fill>
      <patternFill patternType="solid">
        <fgColor rgb="FFFF00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2" borderId="1" applyBorder="0"/>
    <xf numFmtId="0" fontId="1" fillId="3" borderId="0" applyBorder="0">
      <alignment horizontal="center" vertical="center"/>
    </xf>
    <xf numFmtId="0" fontId="1" fillId="4" borderId="1" applyBorder="0">
      <alignment horizontal="center" vertical="center"/>
    </xf>
    <xf numFmtId="0" fontId="1" fillId="5" borderId="6" applyBorder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2" borderId="1" xfId="1" applyBorder="1" applyAlignment="1">
      <alignment horizontal="center" vertical="center"/>
    </xf>
    <xf numFmtId="0" fontId="1" fillId="3" borderId="1" xfId="2" applyBorder="1">
      <alignment horizontal="center" vertical="center"/>
    </xf>
    <xf numFmtId="0" fontId="1" fillId="4" borderId="1" xfId="3" applyBorder="1">
      <alignment horizontal="center" vertical="center"/>
    </xf>
    <xf numFmtId="0" fontId="1" fillId="4" borderId="0" xfId="3" applyBorder="1">
      <alignment horizontal="center" vertical="center"/>
    </xf>
    <xf numFmtId="0" fontId="0" fillId="0" borderId="5" xfId="0" applyBorder="1"/>
    <xf numFmtId="0" fontId="0" fillId="0" borderId="0" xfId="0" applyBorder="1"/>
    <xf numFmtId="164" fontId="0" fillId="0" borderId="0" xfId="0" applyNumberFormat="1" applyBorder="1"/>
    <xf numFmtId="164" fontId="0" fillId="0" borderId="0" xfId="0" applyNumberFormat="1"/>
    <xf numFmtId="0" fontId="1" fillId="2" borderId="1" xfId="1" applyBorder="1" applyAlignment="1">
      <alignment horizontal="center"/>
    </xf>
    <xf numFmtId="0" fontId="1" fillId="3" borderId="1" xfId="2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1" fillId="4" borderId="4" xfId="3" applyBorder="1">
      <alignment horizontal="center" vertical="center"/>
    </xf>
    <xf numFmtId="0" fontId="1" fillId="2" borderId="1" xfId="1" applyBorder="1"/>
    <xf numFmtId="0" fontId="1" fillId="2" borderId="5" xfId="1" applyBorder="1"/>
    <xf numFmtId="0" fontId="1" fillId="2" borderId="6" xfId="1" applyBorder="1"/>
    <xf numFmtId="0" fontId="1" fillId="4" borderId="5" xfId="3" applyBorder="1">
      <alignment horizontal="center" vertical="center"/>
    </xf>
    <xf numFmtId="0" fontId="1" fillId="4" borderId="3" xfId="3" applyBorder="1">
      <alignment horizontal="center" vertical="center"/>
    </xf>
    <xf numFmtId="0" fontId="1" fillId="4" borderId="6" xfId="3" applyBorder="1">
      <alignment horizontal="center" vertical="center"/>
    </xf>
  </cellXfs>
  <cellStyles count="5">
    <cellStyle name="Обычный" xfId="0" builtinId="0"/>
    <cellStyle name="Стиль 1" xfId="1" xr:uid="{C8ACFA6A-497B-41F9-B10B-5C40446E3415}"/>
    <cellStyle name="Стиль 2" xfId="2" xr:uid="{95F2C68E-046F-4928-BD2C-A9398977CF95}"/>
    <cellStyle name="Стиль 3" xfId="3" xr:uid="{D46116B2-9D71-4D5C-A46D-C26F6725A741}"/>
    <cellStyle name="Стиль 4" xfId="4" xr:uid="{5F7BE30B-8BE5-47D3-BF9E-6FA68B9D70CE}"/>
  </cellStyles>
  <dxfs count="0"/>
  <tableStyles count="0" defaultTableStyle="TableStyleMedium2" defaultPivotStyle="PivotStyleLight16"/>
  <colors>
    <mruColors>
      <color rgb="FFCC00FF"/>
      <color rgb="FFCC99FF"/>
      <color rgb="FFFF00FF"/>
      <color rgb="FF1808E8"/>
      <color rgb="FFE049F9"/>
      <color rgb="FF6FE3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412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Лист1!$F$4:$AJ$4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Лист1!$F$5:$AJ$5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291.2251941303399</c:v>
                </c:pt>
                <c:pt idx="2">
                  <c:v>282.49648793052552</c:v>
                </c:pt>
                <c:pt idx="3">
                  <c:v>273.76778173071159</c:v>
                </c:pt>
                <c:pt idx="4">
                  <c:v>265.17535427020249</c:v>
                </c:pt>
                <c:pt idx="5">
                  <c:v>256.58292680969413</c:v>
                </c:pt>
                <c:pt idx="6">
                  <c:v>248.21098559265405</c:v>
                </c:pt>
                <c:pt idx="7">
                  <c:v>239.83904437561512</c:v>
                </c:pt>
                <c:pt idx="8">
                  <c:v>231.76213771734334</c:v>
                </c:pt>
                <c:pt idx="9">
                  <c:v>223.68523105907312</c:v>
                </c:pt>
                <c:pt idx="10">
                  <c:v>215.96498657194687</c:v>
                </c:pt>
                <c:pt idx="11">
                  <c:v>208.24474208482246</c:v>
                </c:pt>
                <c:pt idx="12">
                  <c:v>200.92717440456465</c:v>
                </c:pt>
                <c:pt idx="13">
                  <c:v>193.60960672430886</c:v>
                </c:pt>
                <c:pt idx="14">
                  <c:v>186.72311194320079</c:v>
                </c:pt>
                <c:pt idx="15">
                  <c:v>179.83661716209483</c:v>
                </c:pt>
                <c:pt idx="16">
                  <c:v>173.39074067207176</c:v>
                </c:pt>
                <c:pt idx="17">
                  <c:v>166.94486418205076</c:v>
                </c:pt>
                <c:pt idx="18">
                  <c:v>160.92989424188235</c:v>
                </c:pt>
                <c:pt idx="19">
                  <c:v>154.91492430171593</c:v>
                </c:pt>
                <c:pt idx="20">
                  <c:v>149.30232723313014</c:v>
                </c:pt>
                <c:pt idx="21">
                  <c:v>143.68973016454618</c:v>
                </c:pt>
                <c:pt idx="22">
                  <c:v>138.43340629900146</c:v>
                </c:pt>
                <c:pt idx="23">
                  <c:v>133.17708243345834</c:v>
                </c:pt>
                <c:pt idx="24">
                  <c:v>128.21538638187789</c:v>
                </c:pt>
                <c:pt idx="25">
                  <c:v>123.25369033029872</c:v>
                </c:pt>
                <c:pt idx="26">
                  <c:v>118.51212633055538</c:v>
                </c:pt>
                <c:pt idx="27">
                  <c:v>113.77056233081289</c:v>
                </c:pt>
                <c:pt idx="28">
                  <c:v>109.16503667486595</c:v>
                </c:pt>
                <c:pt idx="29">
                  <c:v>104.55951101891947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2B-4C3D-AD0F-393C491D4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587392"/>
        <c:axId val="1987359840"/>
      </c:scatterChart>
      <c:valAx>
        <c:axId val="198758739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7359840"/>
        <c:crosses val="autoZero"/>
        <c:crossBetween val="midCat"/>
      </c:valAx>
      <c:valAx>
        <c:axId val="19873598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7587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Лист2!$F$4:$AJ$4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Лист2!$F$5:$AJ$5</c:f>
              <c:numCache>
                <c:formatCode>0.00</c:formatCode>
                <c:ptCount val="31"/>
                <c:pt idx="0" formatCode="General">
                  <c:v>299.99999999918094</c:v>
                </c:pt>
                <c:pt idx="1">
                  <c:v>293.33333333251426</c:v>
                </c:pt>
                <c:pt idx="2">
                  <c:v>286.66666666584996</c:v>
                </c:pt>
                <c:pt idx="3">
                  <c:v>279.99999999918788</c:v>
                </c:pt>
                <c:pt idx="4">
                  <c:v>273.33333333252818</c:v>
                </c:pt>
                <c:pt idx="5">
                  <c:v>266.66666666587071</c:v>
                </c:pt>
                <c:pt idx="6">
                  <c:v>259.9999999992155</c:v>
                </c:pt>
                <c:pt idx="7">
                  <c:v>253.33333333256257</c:v>
                </c:pt>
                <c:pt idx="8">
                  <c:v>246.66666666591178</c:v>
                </c:pt>
                <c:pt idx="9">
                  <c:v>239.99999999926314</c:v>
                </c:pt>
                <c:pt idx="10">
                  <c:v>233.33333333261658</c:v>
                </c:pt>
                <c:pt idx="11">
                  <c:v>226.66666666597206</c:v>
                </c:pt>
                <c:pt idx="12">
                  <c:v>219.9999999993295</c:v>
                </c:pt>
                <c:pt idx="13">
                  <c:v>213.33333333268882</c:v>
                </c:pt>
                <c:pt idx="14">
                  <c:v>206.66666666605005</c:v>
                </c:pt>
                <c:pt idx="15">
                  <c:v>199.99999999941292</c:v>
                </c:pt>
                <c:pt idx="16">
                  <c:v>193.33333333277753</c:v>
                </c:pt>
                <c:pt idx="17">
                  <c:v>186.66666666614367</c:v>
                </c:pt>
                <c:pt idx="18">
                  <c:v>179.99999999951132</c:v>
                </c:pt>
                <c:pt idx="19">
                  <c:v>173.33333333288033</c:v>
                </c:pt>
                <c:pt idx="20">
                  <c:v>166.66666666625065</c:v>
                </c:pt>
                <c:pt idx="21">
                  <c:v>159.9999999996221</c:v>
                </c:pt>
                <c:pt idx="22">
                  <c:v>153.33333333299464</c:v>
                </c:pt>
                <c:pt idx="23">
                  <c:v>146.6666666663682</c:v>
                </c:pt>
                <c:pt idx="24">
                  <c:v>139.99999999974256</c:v>
                </c:pt>
                <c:pt idx="25">
                  <c:v>133.33333333311771</c:v>
                </c:pt>
                <c:pt idx="26">
                  <c:v>126.66666666649341</c:v>
                </c:pt>
                <c:pt idx="27">
                  <c:v>119.99999999986966</c:v>
                </c:pt>
                <c:pt idx="28">
                  <c:v>113.33333333324622</c:v>
                </c:pt>
                <c:pt idx="29">
                  <c:v>106.66666666662306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6E-4480-B38B-E7F46C80A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583775"/>
        <c:axId val="668528623"/>
      </c:scatterChart>
      <c:valAx>
        <c:axId val="800583775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8528623"/>
        <c:crosses val="autoZero"/>
        <c:crossBetween val="midCat"/>
      </c:valAx>
      <c:valAx>
        <c:axId val="668528623"/>
        <c:scaling>
          <c:orientation val="minMax"/>
          <c:max val="35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00583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rgbClr val="CC00FF"/>
              </a:solidFill>
              <a:round/>
            </a:ln>
            <a:effectLst/>
          </c:spPr>
          <c:marker>
            <c:symbol val="none"/>
          </c:marker>
          <c:xVal>
            <c:numRef>
              <c:f>Лист3!$F$4:$AJ$4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Лист3!$F$5:$AJ$5</c:f>
              <c:numCache>
                <c:formatCode>General</c:formatCode>
                <c:ptCount val="31"/>
                <c:pt idx="0">
                  <c:v>300</c:v>
                </c:pt>
                <c:pt idx="1">
                  <c:v>299.81884057971013</c:v>
                </c:pt>
                <c:pt idx="2">
                  <c:v>299.63800934677585</c:v>
                </c:pt>
                <c:pt idx="3">
                  <c:v>299.4575057066549</c:v>
                </c:pt>
                <c:pt idx="4">
                  <c:v>299.27732906588199</c:v>
                </c:pt>
                <c:pt idx="5">
                  <c:v>299.097478832067</c:v>
                </c:pt>
                <c:pt idx="6">
                  <c:v>298.91795441389297</c:v>
                </c:pt>
                <c:pt idx="7">
                  <c:v>298.73875522111416</c:v>
                </c:pt>
                <c:pt idx="8">
                  <c:v>298.55988066455416</c:v>
                </c:pt>
                <c:pt idx="9">
                  <c:v>298.3813301561039</c:v>
                </c:pt>
                <c:pt idx="10">
                  <c:v>298.20310310871963</c:v>
                </c:pt>
                <c:pt idx="11">
                  <c:v>298.02519893642125</c:v>
                </c:pt>
                <c:pt idx="12">
                  <c:v>297.84761705429003</c:v>
                </c:pt>
                <c:pt idx="13">
                  <c:v>297.67035687846703</c:v>
                </c:pt>
                <c:pt idx="14">
                  <c:v>297.49341782615096</c:v>
                </c:pt>
                <c:pt idx="15">
                  <c:v>297.31679931559631</c:v>
                </c:pt>
                <c:pt idx="16">
                  <c:v>297.14050076611153</c:v>
                </c:pt>
                <c:pt idx="17">
                  <c:v>296.96452159805699</c:v>
                </c:pt>
                <c:pt idx="18">
                  <c:v>296.78886123284315</c:v>
                </c:pt>
                <c:pt idx="19">
                  <c:v>296.61351909292858</c:v>
                </c:pt>
                <c:pt idx="20">
                  <c:v>296.43849460181821</c:v>
                </c:pt>
                <c:pt idx="21">
                  <c:v>296.2637871840613</c:v>
                </c:pt>
                <c:pt idx="22">
                  <c:v>296.0893962652496</c:v>
                </c:pt>
                <c:pt idx="23">
                  <c:v>295.91532127201543</c:v>
                </c:pt>
                <c:pt idx="24">
                  <c:v>295.74156163202991</c:v>
                </c:pt>
                <c:pt idx="25">
                  <c:v>295.56811677400088</c:v>
                </c:pt>
                <c:pt idx="26">
                  <c:v>295.39498612767119</c:v>
                </c:pt>
                <c:pt idx="27">
                  <c:v>295.22216912381668</c:v>
                </c:pt>
                <c:pt idx="28">
                  <c:v>295.04966519424454</c:v>
                </c:pt>
                <c:pt idx="29">
                  <c:v>294.87747377179119</c:v>
                </c:pt>
                <c:pt idx="30">
                  <c:v>294.70559429032056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74-4158-9A0C-EB1CB40CE69F}"/>
            </c:ext>
          </c:extLst>
        </c:ser>
        <c:ser>
          <c:idx val="1"/>
          <c:order val="1"/>
          <c:tx>
            <c:v>2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Лист3!$F$4:$AJ$4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Лист3!$F$6:$AJ$6</c:f>
              <c:numCache>
                <c:formatCode>General</c:formatCode>
                <c:ptCount val="31"/>
                <c:pt idx="0">
                  <c:v>105.28508088177658</c:v>
                </c:pt>
                <c:pt idx="1">
                  <c:v>105.11349588337401</c:v>
                </c:pt>
                <c:pt idx="2">
                  <c:v>104.94160004258302</c:v>
                </c:pt>
                <c:pt idx="3">
                  <c:v>104.76939279628337</c:v>
                </c:pt>
                <c:pt idx="4">
                  <c:v>104.59687358033462</c:v>
                </c:pt>
                <c:pt idx="5">
                  <c:v>104.42404182957436</c:v>
                </c:pt>
                <c:pt idx="6">
                  <c:v>104.25089697781635</c:v>
                </c:pt>
                <c:pt idx="7">
                  <c:v>104.07743845784863</c:v>
                </c:pt>
                <c:pt idx="8">
                  <c:v>103.90366570143169</c:v>
                </c:pt>
                <c:pt idx="9">
                  <c:v>103.72957813929662</c:v>
                </c:pt>
                <c:pt idx="10">
                  <c:v>103.55517520114319</c:v>
                </c:pt>
                <c:pt idx="11">
                  <c:v>103.380456315638</c:v>
                </c:pt>
                <c:pt idx="12">
                  <c:v>103.20542091041271</c:v>
                </c:pt>
                <c:pt idx="13">
                  <c:v>103.03006841206202</c:v>
                </c:pt>
                <c:pt idx="14">
                  <c:v>102.85439824614186</c:v>
                </c:pt>
                <c:pt idx="15">
                  <c:v>102.67840983716746</c:v>
                </c:pt>
                <c:pt idx="16">
                  <c:v>102.50210260861162</c:v>
                </c:pt>
                <c:pt idx="17">
                  <c:v>102.32547598290259</c:v>
                </c:pt>
                <c:pt idx="18">
                  <c:v>102.14852938142234</c:v>
                </c:pt>
                <c:pt idx="19">
                  <c:v>101.97126222450463</c:v>
                </c:pt>
                <c:pt idx="20">
                  <c:v>101.79367393143308</c:v>
                </c:pt>
                <c:pt idx="21">
                  <c:v>101.61576392043931</c:v>
                </c:pt>
                <c:pt idx="22">
                  <c:v>101.43753160870098</c:v>
                </c:pt>
                <c:pt idx="23">
                  <c:v>101.25897641233993</c:v>
                </c:pt>
                <c:pt idx="24">
                  <c:v>101.08009774642028</c:v>
                </c:pt>
                <c:pt idx="25">
                  <c:v>100.90089502494642</c:v>
                </c:pt>
                <c:pt idx="26">
                  <c:v>100.72136766086119</c:v>
                </c:pt>
                <c:pt idx="27">
                  <c:v>100.54151506604391</c:v>
                </c:pt>
                <c:pt idx="28">
                  <c:v>100.36133665130849</c:v>
                </c:pt>
                <c:pt idx="29">
                  <c:v>100.18083182640144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EA-40E5-85A4-85774B11E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583775"/>
        <c:axId val="668528623"/>
      </c:scatterChart>
      <c:valAx>
        <c:axId val="800583775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8528623"/>
        <c:crosses val="autoZero"/>
        <c:crossBetween val="midCat"/>
      </c:valAx>
      <c:valAx>
        <c:axId val="668528623"/>
        <c:scaling>
          <c:orientation val="minMax"/>
          <c:max val="35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0058377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CC99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22225" cap="rnd">
              <a:gradFill>
                <a:gsLst>
                  <a:gs pos="0">
                    <a:srgbClr val="FF0000"/>
                  </a:gs>
                  <a:gs pos="34000">
                    <a:srgbClr val="FFC000"/>
                  </a:gs>
                  <a:gs pos="68000">
                    <a:srgbClr val="00B050"/>
                  </a:gs>
                  <a:gs pos="100000">
                    <a:srgbClr val="1808E8"/>
                  </a:gs>
                </a:gsLst>
                <a:lin ang="5400000" scaled="1"/>
              </a:gra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Лист4!$G$2:$AL$2</c:f>
              <c:numCache>
                <c:formatCode>0.000</c:formatCode>
                <c:ptCount val="32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0.05</c:v>
                </c:pt>
                <c:pt idx="17">
                  <c:v>5.3333333333333337E-2</c:v>
                </c:pt>
                <c:pt idx="18">
                  <c:v>5.6666666666666671E-2</c:v>
                </c:pt>
                <c:pt idx="19">
                  <c:v>6.0000000000000005E-2</c:v>
                </c:pt>
                <c:pt idx="20">
                  <c:v>6.3333333333333339E-2</c:v>
                </c:pt>
                <c:pt idx="21">
                  <c:v>6.6666666666666666E-2</c:v>
                </c:pt>
                <c:pt idx="22">
                  <c:v>6.9999999999999993E-2</c:v>
                </c:pt>
                <c:pt idx="23">
                  <c:v>7.333333333333332E-2</c:v>
                </c:pt>
                <c:pt idx="24">
                  <c:v>7.6666666666666647E-2</c:v>
                </c:pt>
                <c:pt idx="25">
                  <c:v>7.9999999999999974E-2</c:v>
                </c:pt>
                <c:pt idx="26">
                  <c:v>8.3333333333333301E-2</c:v>
                </c:pt>
                <c:pt idx="27">
                  <c:v>8.6666666666666628E-2</c:v>
                </c:pt>
                <c:pt idx="28">
                  <c:v>8.9999999999999955E-2</c:v>
                </c:pt>
                <c:pt idx="29">
                  <c:v>9.3333333333333282E-2</c:v>
                </c:pt>
                <c:pt idx="30">
                  <c:v>9.6666666666666609E-2</c:v>
                </c:pt>
                <c:pt idx="31">
                  <c:v>9.9999999999999936E-2</c:v>
                </c:pt>
              </c:numCache>
            </c:numRef>
          </c:xVal>
          <c:yVal>
            <c:numRef>
              <c:f>Лист4!$G$5:$AL$5</c:f>
              <c:numCache>
                <c:formatCode>0.00</c:formatCode>
                <c:ptCount val="32"/>
                <c:pt idx="0">
                  <c:v>6.666666666666667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200</c:v>
                </c:pt>
                <c:pt idx="16">
                  <c:v>200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20-412A-9038-11EF1B9AD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5972304"/>
        <c:axId val="920600576"/>
      </c:scatterChart>
      <c:valAx>
        <c:axId val="111597230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solidFill>
              <a:srgbClr val="CC99FF"/>
            </a:solidFill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0600576"/>
        <c:crosses val="autoZero"/>
        <c:crossBetween val="midCat"/>
      </c:valAx>
      <c:valAx>
        <c:axId val="92060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prstDash val="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CC99FF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15972304"/>
        <c:crosses val="autoZero"/>
        <c:crossBetween val="midCat"/>
      </c:valAx>
      <c:spPr>
        <a:noFill/>
        <a:ln cap="rnd" cmpd="tri">
          <a:solidFill>
            <a:srgbClr val="CC99FF"/>
          </a:solidFill>
          <a:prstDash val="lgDash"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582152</xdr:colOff>
      <xdr:row>10</xdr:row>
      <xdr:rowOff>21754</xdr:rowOff>
    </xdr:from>
    <xdr:to>
      <xdr:col>23</xdr:col>
      <xdr:colOff>549726</xdr:colOff>
      <xdr:row>35</xdr:row>
      <xdr:rowOff>119522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17</xdr:col>
      <xdr:colOff>6158</xdr:colOff>
      <xdr:row>10</xdr:row>
      <xdr:rowOff>54755</xdr:rowOff>
    </xdr:from>
    <xdr:ext cx="380553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10248856" y="1826848"/>
              <a:ext cx="38055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℃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078832D-8174-4077-B9F7-D64FE0ED3FA4}"/>
                </a:ext>
              </a:extLst>
            </xdr:cNvPr>
            <xdr:cNvSpPr txBox="1"/>
          </xdr:nvSpPr>
          <xdr:spPr>
            <a:xfrm>
              <a:off x="10248856" y="1826848"/>
              <a:ext cx="38055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℃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23</xdr:col>
      <xdr:colOff>108958</xdr:colOff>
      <xdr:row>34</xdr:row>
      <xdr:rowOff>17041</xdr:rowOff>
    </xdr:from>
    <xdr:ext cx="411523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3966725" y="6042157"/>
              <a:ext cx="41152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,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6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6BE33C38-753F-41DF-BE85-A7A97C9DCB4B}"/>
                </a:ext>
              </a:extLst>
            </xdr:cNvPr>
            <xdr:cNvSpPr txBox="1"/>
          </xdr:nvSpPr>
          <xdr:spPr>
            <a:xfrm>
              <a:off x="13966725" y="6042157"/>
              <a:ext cx="41152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𝐿, 𝑚</a:t>
              </a:r>
              <a:endParaRPr lang="ru-RU" sz="16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601980</xdr:colOff>
      <xdr:row>10</xdr:row>
      <xdr:rowOff>0</xdr:rowOff>
    </xdr:from>
    <xdr:to>
      <xdr:col>11</xdr:col>
      <xdr:colOff>7620</xdr:colOff>
      <xdr:row>27</xdr:row>
      <xdr:rowOff>30480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577658</xdr:colOff>
      <xdr:row>10</xdr:row>
      <xdr:rowOff>24275</xdr:rowOff>
    </xdr:from>
    <xdr:ext cx="380553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235258" y="1853075"/>
              <a:ext cx="38055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℃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8D0E8414-AAB8-417A-BBA5-FE96E90F6E9F}"/>
                </a:ext>
              </a:extLst>
            </xdr:cNvPr>
            <xdr:cNvSpPr txBox="1"/>
          </xdr:nvSpPr>
          <xdr:spPr>
            <a:xfrm>
              <a:off x="4235258" y="1853075"/>
              <a:ext cx="38055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℃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10</xdr:col>
      <xdr:colOff>167640</xdr:colOff>
      <xdr:row>25</xdr:row>
      <xdr:rowOff>167640</xdr:rowOff>
    </xdr:from>
    <xdr:ext cx="411523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6263640" y="4739640"/>
              <a:ext cx="41152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,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6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893BCBB-AAB9-4D74-94FB-932A8D489332}"/>
                </a:ext>
              </a:extLst>
            </xdr:cNvPr>
            <xdr:cNvSpPr txBox="1"/>
          </xdr:nvSpPr>
          <xdr:spPr>
            <a:xfrm>
              <a:off x="6263640" y="4739640"/>
              <a:ext cx="41152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𝐿, 𝑚</a:t>
              </a:r>
              <a:endParaRPr lang="ru-RU" sz="16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601980</xdr:colOff>
      <xdr:row>10</xdr:row>
      <xdr:rowOff>0</xdr:rowOff>
    </xdr:from>
    <xdr:to>
      <xdr:col>13</xdr:col>
      <xdr:colOff>0</xdr:colOff>
      <xdr:row>27</xdr:row>
      <xdr:rowOff>30480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1</xdr:colOff>
      <xdr:row>10</xdr:row>
      <xdr:rowOff>38100</xdr:rowOff>
    </xdr:from>
    <xdr:ext cx="361950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4267201" y="1943100"/>
              <a:ext cx="361950" cy="219163"/>
            </a:xfrm>
            <a:prstGeom prst="rect">
              <a:avLst/>
            </a:prstGeom>
            <a:solidFill>
              <a:srgbClr val="CC99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℃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4267201" y="1943100"/>
              <a:ext cx="361950" cy="219163"/>
            </a:xfrm>
            <a:prstGeom prst="rect">
              <a:avLst/>
            </a:prstGeom>
            <a:solidFill>
              <a:srgbClr val="CC99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℃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12</xdr:col>
      <xdr:colOff>139065</xdr:colOff>
      <xdr:row>25</xdr:row>
      <xdr:rowOff>129540</xdr:rowOff>
    </xdr:from>
    <xdr:ext cx="411523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7654290" y="4892040"/>
              <a:ext cx="411523" cy="250453"/>
            </a:xfrm>
            <a:prstGeom prst="rect">
              <a:avLst/>
            </a:prstGeom>
            <a:solidFill>
              <a:srgbClr val="CC99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,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6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7654290" y="4892040"/>
              <a:ext cx="411523" cy="250453"/>
            </a:xfrm>
            <a:prstGeom prst="rect">
              <a:avLst/>
            </a:prstGeom>
            <a:solidFill>
              <a:srgbClr val="CC99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𝐿, 𝑚</a:t>
              </a:r>
              <a:endParaRPr lang="ru-RU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14</xdr:row>
          <xdr:rowOff>104775</xdr:rowOff>
        </xdr:from>
        <xdr:to>
          <xdr:col>3</xdr:col>
          <xdr:colOff>0</xdr:colOff>
          <xdr:row>17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11</xdr:row>
          <xdr:rowOff>180975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0</xdr:rowOff>
        </xdr:from>
        <xdr:to>
          <xdr:col>2</xdr:col>
          <xdr:colOff>600075</xdr:colOff>
          <xdr:row>16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ADA7DD7D-498C-4494-BA35-F83259AB86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609599</xdr:colOff>
      <xdr:row>9</xdr:row>
      <xdr:rowOff>185736</xdr:rowOff>
    </xdr:from>
    <xdr:to>
      <xdr:col>15</xdr:col>
      <xdr:colOff>600075</xdr:colOff>
      <xdr:row>26</xdr:row>
      <xdr:rowOff>180975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CB64CD7-4846-4FFB-9415-88A35C7034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66675</xdr:colOff>
      <xdr:row>10</xdr:row>
      <xdr:rowOff>57150</xdr:rowOff>
    </xdr:from>
    <xdr:ext cx="361950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637D7674-9B5D-4A47-996B-A5F0D7301735}"/>
                </a:ext>
              </a:extLst>
            </xdr:cNvPr>
            <xdr:cNvSpPr txBox="1"/>
          </xdr:nvSpPr>
          <xdr:spPr>
            <a:xfrm>
              <a:off x="3724275" y="1962150"/>
              <a:ext cx="361950" cy="219163"/>
            </a:xfrm>
            <a:prstGeom prst="rect">
              <a:avLst/>
            </a:prstGeom>
            <a:solidFill>
              <a:schemeClr val="tx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, ℃</m:t>
                    </m:r>
                  </m:oMath>
                </m:oMathPara>
              </a14:m>
              <a:endParaRPr lang="ru-RU" sz="1400">
                <a:solidFill>
                  <a:schemeClr val="bg1"/>
                </a:solidFill>
              </a:endParaRPr>
            </a:p>
          </xdr:txBody>
        </xdr:sp>
      </mc:Choice>
      <mc:Fallback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637D7674-9B5D-4A47-996B-A5F0D7301735}"/>
                </a:ext>
              </a:extLst>
            </xdr:cNvPr>
            <xdr:cNvSpPr txBox="1"/>
          </xdr:nvSpPr>
          <xdr:spPr>
            <a:xfrm>
              <a:off x="3724275" y="1962150"/>
              <a:ext cx="361950" cy="219163"/>
            </a:xfrm>
            <a:prstGeom prst="rect">
              <a:avLst/>
            </a:prstGeom>
            <a:solidFill>
              <a:schemeClr val="tx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𝑇, ℃</a:t>
              </a:r>
              <a:endParaRPr lang="ru-RU" sz="14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15</xdr:col>
      <xdr:colOff>152400</xdr:colOff>
      <xdr:row>25</xdr:row>
      <xdr:rowOff>104775</xdr:rowOff>
    </xdr:from>
    <xdr:ext cx="361950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D708A36C-2629-4C42-802D-0E787714493B}"/>
                </a:ext>
              </a:extLst>
            </xdr:cNvPr>
            <xdr:cNvSpPr txBox="1"/>
          </xdr:nvSpPr>
          <xdr:spPr>
            <a:xfrm>
              <a:off x="9296400" y="4867275"/>
              <a:ext cx="361950" cy="219163"/>
            </a:xfrm>
            <a:prstGeom prst="rect">
              <a:avLst/>
            </a:prstGeom>
            <a:solidFill>
              <a:schemeClr val="tx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, м</m:t>
                    </m:r>
                  </m:oMath>
                </m:oMathPara>
              </a14:m>
              <a:endParaRPr lang="ru-RU" sz="1400">
                <a:solidFill>
                  <a:schemeClr val="bg1"/>
                </a:solidFill>
              </a:endParaRPr>
            </a:p>
          </xdr:txBody>
        </xdr:sp>
      </mc:Choice>
      <mc:Fallback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D708A36C-2629-4C42-802D-0E787714493B}"/>
                </a:ext>
              </a:extLst>
            </xdr:cNvPr>
            <xdr:cNvSpPr txBox="1"/>
          </xdr:nvSpPr>
          <xdr:spPr>
            <a:xfrm>
              <a:off x="9296400" y="4867275"/>
              <a:ext cx="361950" cy="219163"/>
            </a:xfrm>
            <a:prstGeom prst="rect">
              <a:avLst/>
            </a:prstGeom>
            <a:solidFill>
              <a:schemeClr val="tx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𝐿, </a:t>
              </a:r>
              <a:r>
                <a:rPr lang="ru-RU" sz="14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м</a:t>
              </a:r>
              <a:endParaRPr lang="ru-RU" sz="14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1E1EB-0C7C-433E-A435-15BEEC3ABB42}">
  <sheetPr codeName="Лист1"/>
  <dimension ref="A1:AJ12"/>
  <sheetViews>
    <sheetView zoomScale="76" zoomScaleNormal="76" workbookViewId="0">
      <selection activeCell="K30" sqref="K30"/>
    </sheetView>
  </sheetViews>
  <sheetFormatPr defaultRowHeight="15" x14ac:dyDescent="0.25"/>
  <cols>
    <col min="16" max="16" width="12.28515625" bestFit="1" customWidth="1"/>
    <col min="19" max="19" width="8.85546875" customWidth="1"/>
    <col min="34" max="34" width="8.85546875" customWidth="1"/>
  </cols>
  <sheetData>
    <row r="1" spans="1:36" x14ac:dyDescent="0.25">
      <c r="A1" s="4"/>
      <c r="B1" s="4"/>
    </row>
    <row r="2" spans="1:36" x14ac:dyDescent="0.25">
      <c r="A2" s="4" t="s">
        <v>0</v>
      </c>
      <c r="B2" s="4">
        <v>0.1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x14ac:dyDescent="0.25">
      <c r="A3" s="4" t="s">
        <v>1</v>
      </c>
      <c r="B3" s="5">
        <f>B2/30</f>
        <v>3.3333333333333335E-3</v>
      </c>
      <c r="F3" s="2">
        <v>1</v>
      </c>
      <c r="G3" s="2">
        <v>2</v>
      </c>
      <c r="H3" s="2">
        <v>3</v>
      </c>
      <c r="I3" s="2">
        <v>4</v>
      </c>
      <c r="J3" s="2">
        <v>5</v>
      </c>
      <c r="K3" s="2">
        <v>6</v>
      </c>
      <c r="L3" s="2">
        <v>7</v>
      </c>
      <c r="M3" s="2">
        <v>8</v>
      </c>
      <c r="N3" s="2">
        <v>9</v>
      </c>
      <c r="O3" s="2">
        <v>10</v>
      </c>
      <c r="P3" s="2">
        <v>11</v>
      </c>
      <c r="Q3" s="2">
        <v>12</v>
      </c>
      <c r="R3" s="2">
        <v>13</v>
      </c>
      <c r="S3" s="2">
        <v>14</v>
      </c>
      <c r="T3" s="2">
        <v>15</v>
      </c>
      <c r="U3" s="2">
        <v>16</v>
      </c>
      <c r="V3" s="2">
        <v>17</v>
      </c>
      <c r="W3" s="2">
        <v>18</v>
      </c>
      <c r="X3" s="2">
        <v>19</v>
      </c>
      <c r="Y3" s="2">
        <v>20</v>
      </c>
      <c r="Z3" s="2">
        <v>21</v>
      </c>
      <c r="AA3" s="2">
        <v>22</v>
      </c>
      <c r="AB3" s="2">
        <v>23</v>
      </c>
      <c r="AC3" s="2">
        <v>24</v>
      </c>
      <c r="AD3" s="2">
        <v>25</v>
      </c>
      <c r="AE3" s="2">
        <v>26</v>
      </c>
      <c r="AF3" s="2">
        <v>27</v>
      </c>
      <c r="AG3" s="2">
        <v>28</v>
      </c>
      <c r="AH3" s="2">
        <v>29</v>
      </c>
      <c r="AI3" s="2">
        <v>30</v>
      </c>
      <c r="AJ3" s="2">
        <v>31</v>
      </c>
    </row>
    <row r="4" spans="1:36" x14ac:dyDescent="0.25">
      <c r="A4" s="4" t="s">
        <v>2</v>
      </c>
      <c r="B4" s="4">
        <f>(B3*B8*B7*B3)/(2*B9)</f>
        <v>0.43333333333333335</v>
      </c>
      <c r="E4" t="s">
        <v>0</v>
      </c>
      <c r="F4" s="2">
        <v>0</v>
      </c>
      <c r="G4" s="3">
        <f>F4+$B$3</f>
        <v>3.3333333333333335E-3</v>
      </c>
      <c r="H4" s="3">
        <f t="shared" ref="H4:AJ4" si="0">G4+$B$3</f>
        <v>6.6666666666666671E-3</v>
      </c>
      <c r="I4" s="3">
        <f t="shared" si="0"/>
        <v>0.01</v>
      </c>
      <c r="J4" s="3">
        <f t="shared" si="0"/>
        <v>1.3333333333333334E-2</v>
      </c>
      <c r="K4" s="3">
        <f t="shared" si="0"/>
        <v>1.6666666666666666E-2</v>
      </c>
      <c r="L4" s="3">
        <f t="shared" si="0"/>
        <v>0.02</v>
      </c>
      <c r="M4" s="3">
        <f t="shared" si="0"/>
        <v>2.3333333333333334E-2</v>
      </c>
      <c r="N4" s="3">
        <f t="shared" si="0"/>
        <v>2.6666666666666668E-2</v>
      </c>
      <c r="O4" s="3">
        <f t="shared" si="0"/>
        <v>3.0000000000000002E-2</v>
      </c>
      <c r="P4" s="3">
        <f t="shared" si="0"/>
        <v>3.3333333333333333E-2</v>
      </c>
      <c r="Q4" s="3">
        <f t="shared" si="0"/>
        <v>3.6666666666666667E-2</v>
      </c>
      <c r="R4" s="3">
        <f t="shared" si="0"/>
        <v>0.04</v>
      </c>
      <c r="S4" s="3">
        <f t="shared" si="0"/>
        <v>4.3333333333333335E-2</v>
      </c>
      <c r="T4" s="3">
        <f t="shared" si="0"/>
        <v>4.6666666666666669E-2</v>
      </c>
      <c r="U4" s="3">
        <f t="shared" si="0"/>
        <v>0.05</v>
      </c>
      <c r="V4" s="3">
        <f t="shared" si="0"/>
        <v>5.3333333333333337E-2</v>
      </c>
      <c r="W4" s="3">
        <f t="shared" si="0"/>
        <v>5.6666666666666671E-2</v>
      </c>
      <c r="X4" s="3">
        <f t="shared" si="0"/>
        <v>6.0000000000000005E-2</v>
      </c>
      <c r="Y4" s="3">
        <f t="shared" si="0"/>
        <v>6.3333333333333339E-2</v>
      </c>
      <c r="Z4" s="3">
        <f t="shared" si="0"/>
        <v>6.6666666666666666E-2</v>
      </c>
      <c r="AA4" s="3">
        <f t="shared" si="0"/>
        <v>6.9999999999999993E-2</v>
      </c>
      <c r="AB4" s="3">
        <f t="shared" si="0"/>
        <v>7.333333333333332E-2</v>
      </c>
      <c r="AC4" s="3">
        <f t="shared" si="0"/>
        <v>7.6666666666666647E-2</v>
      </c>
      <c r="AD4" s="3">
        <f t="shared" si="0"/>
        <v>7.9999999999999974E-2</v>
      </c>
      <c r="AE4" s="3">
        <f t="shared" si="0"/>
        <v>8.3333333333333301E-2</v>
      </c>
      <c r="AF4" s="3">
        <f t="shared" si="0"/>
        <v>8.6666666666666628E-2</v>
      </c>
      <c r="AG4" s="3">
        <f t="shared" si="0"/>
        <v>8.9999999999999955E-2</v>
      </c>
      <c r="AH4" s="3">
        <f t="shared" si="0"/>
        <v>9.3333333333333282E-2</v>
      </c>
      <c r="AI4" s="3">
        <f t="shared" si="0"/>
        <v>9.6666666666666609E-2</v>
      </c>
      <c r="AJ4" s="3">
        <f t="shared" si="0"/>
        <v>9.9999999999999936E-2</v>
      </c>
    </row>
    <row r="5" spans="1:36" x14ac:dyDescent="0.25">
      <c r="A5" s="4" t="s">
        <v>3</v>
      </c>
      <c r="B5" s="4">
        <v>200</v>
      </c>
      <c r="E5" t="s">
        <v>7</v>
      </c>
      <c r="F5" s="6">
        <f>B10</f>
        <v>300</v>
      </c>
      <c r="G5" s="8">
        <v>291.2251941303399</v>
      </c>
      <c r="H5" s="8">
        <v>282.49648793052552</v>
      </c>
      <c r="I5" s="8">
        <v>273.76778173071159</v>
      </c>
      <c r="J5" s="8">
        <v>265.17535427020249</v>
      </c>
      <c r="K5" s="8">
        <v>256.58292680969413</v>
      </c>
      <c r="L5" s="8">
        <v>248.21098559265405</v>
      </c>
      <c r="M5" s="8">
        <v>239.83904437561512</v>
      </c>
      <c r="N5" s="8">
        <v>231.76213771734334</v>
      </c>
      <c r="O5" s="8">
        <v>223.68523105907312</v>
      </c>
      <c r="P5" s="8">
        <v>215.96498657194687</v>
      </c>
      <c r="Q5" s="8">
        <v>208.24474208482246</v>
      </c>
      <c r="R5" s="8">
        <v>200.92717440456465</v>
      </c>
      <c r="S5" s="8">
        <v>193.60960672430886</v>
      </c>
      <c r="T5" s="8">
        <v>186.72311194320079</v>
      </c>
      <c r="U5" s="8">
        <v>179.83661716209483</v>
      </c>
      <c r="V5" s="8">
        <v>173.39074067207176</v>
      </c>
      <c r="W5" s="8">
        <v>166.94486418205076</v>
      </c>
      <c r="X5" s="8">
        <v>160.92989424188235</v>
      </c>
      <c r="Y5" s="8">
        <v>154.91492430171593</v>
      </c>
      <c r="Z5" s="8">
        <v>149.30232723313014</v>
      </c>
      <c r="AA5" s="8">
        <v>143.68973016454618</v>
      </c>
      <c r="AB5" s="8">
        <v>138.43340629900146</v>
      </c>
      <c r="AC5" s="8">
        <v>133.17708243345834</v>
      </c>
      <c r="AD5" s="8">
        <v>128.21538638187789</v>
      </c>
      <c r="AE5" s="8">
        <v>123.25369033029872</v>
      </c>
      <c r="AF5" s="8">
        <v>118.51212633055538</v>
      </c>
      <c r="AG5" s="8">
        <v>113.77056233081289</v>
      </c>
      <c r="AH5" s="8">
        <v>109.16503667486595</v>
      </c>
      <c r="AI5" s="8">
        <v>104.55951101891947</v>
      </c>
      <c r="AJ5" s="7">
        <f>B11</f>
        <v>100</v>
      </c>
    </row>
    <row r="7" spans="1:36" x14ac:dyDescent="0.25">
      <c r="A7" s="4" t="s">
        <v>4</v>
      </c>
      <c r="B7" s="4">
        <v>460</v>
      </c>
      <c r="E7" s="4" t="s">
        <v>10</v>
      </c>
      <c r="F7" s="4"/>
      <c r="G7" s="4">
        <f>G5+(($B$9*$B$4)/($B$8*$B$7))*((H5-2*G5+F5)/($B$3^2))</f>
        <v>291.24824396526276</v>
      </c>
      <c r="H7" s="4">
        <f t="shared" ref="H7:AI7" si="1">H5+(($B$9*$B$4)/($B$8*$B$7))*((I5-2*H5+G5)/($B$3^2))</f>
        <v>282.49648793052575</v>
      </c>
      <c r="I7" s="4">
        <f t="shared" si="1"/>
        <v>273.83592110036398</v>
      </c>
      <c r="J7" s="4">
        <f t="shared" si="1"/>
        <v>265.17535427020289</v>
      </c>
      <c r="K7" s="4">
        <f t="shared" si="1"/>
        <v>256.69316993142832</v>
      </c>
      <c r="L7" s="4">
        <f t="shared" si="1"/>
        <v>248.21098559265462</v>
      </c>
      <c r="M7" s="4">
        <f t="shared" si="1"/>
        <v>239.9865616549987</v>
      </c>
      <c r="N7" s="4">
        <f t="shared" si="1"/>
        <v>231.7621377173441</v>
      </c>
      <c r="O7" s="4">
        <f t="shared" si="1"/>
        <v>223.8635621446451</v>
      </c>
      <c r="P7" s="4">
        <f t="shared" si="1"/>
        <v>215.9649865719478</v>
      </c>
      <c r="Q7" s="4">
        <f t="shared" si="1"/>
        <v>208.44608048825575</v>
      </c>
      <c r="R7" s="4">
        <f t="shared" si="1"/>
        <v>200.92717440456568</v>
      </c>
      <c r="S7" s="4">
        <f t="shared" si="1"/>
        <v>193.82514317388271</v>
      </c>
      <c r="T7" s="4">
        <f t="shared" si="1"/>
        <v>186.72311194320184</v>
      </c>
      <c r="U7" s="4">
        <f t="shared" si="1"/>
        <v>180.05692630763627</v>
      </c>
      <c r="V7" s="4">
        <f t="shared" si="1"/>
        <v>173.39074067207281</v>
      </c>
      <c r="W7" s="4">
        <f t="shared" si="1"/>
        <v>167.16031745697705</v>
      </c>
      <c r="X7" s="4">
        <f t="shared" si="1"/>
        <v>160.92989424188335</v>
      </c>
      <c r="Y7" s="4">
        <f t="shared" si="1"/>
        <v>155.11611073750623</v>
      </c>
      <c r="Z7" s="4">
        <f t="shared" si="1"/>
        <v>149.30232723313105</v>
      </c>
      <c r="AA7" s="4">
        <f t="shared" si="1"/>
        <v>143.86786676606579</v>
      </c>
      <c r="AB7" s="4">
        <f t="shared" si="1"/>
        <v>138.43340629900226</v>
      </c>
      <c r="AC7" s="4">
        <f t="shared" si="1"/>
        <v>133.32439634043968</v>
      </c>
      <c r="AD7" s="4">
        <f t="shared" si="1"/>
        <v>128.21538638187855</v>
      </c>
      <c r="AE7" s="4">
        <f t="shared" si="1"/>
        <v>123.36375635621663</v>
      </c>
      <c r="AF7" s="4">
        <f t="shared" si="1"/>
        <v>118.51212633055582</v>
      </c>
      <c r="AG7" s="4">
        <f t="shared" si="1"/>
        <v>113.83858150271065</v>
      </c>
      <c r="AH7" s="4">
        <f t="shared" si="1"/>
        <v>109.16503667486617</v>
      </c>
      <c r="AI7" s="4">
        <f t="shared" si="1"/>
        <v>104.58251833743297</v>
      </c>
    </row>
    <row r="8" spans="1:36" x14ac:dyDescent="0.25">
      <c r="A8" s="4" t="s">
        <v>5</v>
      </c>
      <c r="B8" s="4">
        <v>7800</v>
      </c>
    </row>
    <row r="9" spans="1:36" x14ac:dyDescent="0.25">
      <c r="A9" s="4" t="s">
        <v>6</v>
      </c>
      <c r="B9" s="4">
        <v>46</v>
      </c>
    </row>
    <row r="10" spans="1:36" x14ac:dyDescent="0.25">
      <c r="A10" s="4" t="s">
        <v>8</v>
      </c>
      <c r="B10" s="4">
        <v>300</v>
      </c>
    </row>
    <row r="11" spans="1:36" x14ac:dyDescent="0.25">
      <c r="A11" s="4" t="s">
        <v>9</v>
      </c>
      <c r="B11" s="4">
        <v>100</v>
      </c>
    </row>
    <row r="12" spans="1:36" x14ac:dyDescent="0.25">
      <c r="C12">
        <v>200.20000000000002</v>
      </c>
    </row>
  </sheetData>
  <conditionalFormatting sqref="F5:AJ5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9980C-A888-4C32-90C4-AD507E4E3DFE}">
  <sheetPr codeName="Лист2"/>
  <dimension ref="A1:AJ12"/>
  <sheetViews>
    <sheetView zoomScale="81" zoomScaleNormal="81" workbookViewId="0">
      <selection activeCell="F6" sqref="F6"/>
    </sheetView>
  </sheetViews>
  <sheetFormatPr defaultRowHeight="15" x14ac:dyDescent="0.25"/>
  <sheetData>
    <row r="1" spans="1:36" x14ac:dyDescent="0.25">
      <c r="A1" s="4"/>
      <c r="B1" s="4"/>
    </row>
    <row r="2" spans="1:36" x14ac:dyDescent="0.25">
      <c r="A2" s="4" t="s">
        <v>0</v>
      </c>
      <c r="B2" s="4">
        <v>0.1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x14ac:dyDescent="0.25">
      <c r="A3" s="4" t="s">
        <v>1</v>
      </c>
      <c r="B3" s="5">
        <f>B2/30</f>
        <v>3.3333333333333335E-3</v>
      </c>
      <c r="F3" s="2">
        <v>1</v>
      </c>
      <c r="G3" s="2">
        <v>2</v>
      </c>
      <c r="H3" s="2">
        <v>3</v>
      </c>
      <c r="I3" s="2">
        <v>4</v>
      </c>
      <c r="J3" s="2">
        <v>5</v>
      </c>
      <c r="K3" s="2">
        <v>6</v>
      </c>
      <c r="L3" s="2">
        <v>7</v>
      </c>
      <c r="M3" s="2">
        <v>8</v>
      </c>
      <c r="N3" s="2">
        <v>9</v>
      </c>
      <c r="O3" s="2">
        <v>10</v>
      </c>
      <c r="P3" s="2">
        <v>11</v>
      </c>
      <c r="Q3" s="2">
        <v>12</v>
      </c>
      <c r="R3" s="2">
        <v>13</v>
      </c>
      <c r="S3" s="2">
        <v>14</v>
      </c>
      <c r="T3" s="2">
        <v>15</v>
      </c>
      <c r="U3" s="2">
        <v>16</v>
      </c>
      <c r="V3" s="2">
        <v>17</v>
      </c>
      <c r="W3" s="2">
        <v>18</v>
      </c>
      <c r="X3" s="2">
        <v>19</v>
      </c>
      <c r="Y3" s="2">
        <v>20</v>
      </c>
      <c r="Z3" s="2">
        <v>21</v>
      </c>
      <c r="AA3" s="2">
        <v>22</v>
      </c>
      <c r="AB3" s="2">
        <v>23</v>
      </c>
      <c r="AC3" s="2">
        <v>24</v>
      </c>
      <c r="AD3" s="2">
        <v>25</v>
      </c>
      <c r="AE3" s="2">
        <v>26</v>
      </c>
      <c r="AF3" s="2">
        <v>27</v>
      </c>
      <c r="AG3" s="2">
        <v>28</v>
      </c>
      <c r="AH3" s="2">
        <v>29</v>
      </c>
      <c r="AI3" s="2">
        <v>30</v>
      </c>
      <c r="AJ3" s="2">
        <v>31</v>
      </c>
    </row>
    <row r="4" spans="1:36" x14ac:dyDescent="0.25">
      <c r="A4" s="4" t="s">
        <v>2</v>
      </c>
      <c r="B4" s="4">
        <f>(B3*B8*B7*B3)/(2*B9)</f>
        <v>0.43333333333333335</v>
      </c>
      <c r="E4" t="s">
        <v>0</v>
      </c>
      <c r="F4" s="2">
        <v>0</v>
      </c>
      <c r="G4" s="3">
        <f>F4+$B$3</f>
        <v>3.3333333333333335E-3</v>
      </c>
      <c r="H4" s="3">
        <f t="shared" ref="H4:AJ4" si="0">G4+$B$3</f>
        <v>6.6666666666666671E-3</v>
      </c>
      <c r="I4" s="3">
        <f t="shared" si="0"/>
        <v>0.01</v>
      </c>
      <c r="J4" s="3">
        <f t="shared" si="0"/>
        <v>1.3333333333333334E-2</v>
      </c>
      <c r="K4" s="3">
        <f t="shared" si="0"/>
        <v>1.6666666666666666E-2</v>
      </c>
      <c r="L4" s="3">
        <f t="shared" si="0"/>
        <v>0.02</v>
      </c>
      <c r="M4" s="3">
        <f t="shared" si="0"/>
        <v>2.3333333333333334E-2</v>
      </c>
      <c r="N4" s="3">
        <f t="shared" si="0"/>
        <v>2.6666666666666668E-2</v>
      </c>
      <c r="O4" s="3">
        <f t="shared" si="0"/>
        <v>3.0000000000000002E-2</v>
      </c>
      <c r="P4" s="3">
        <f t="shared" si="0"/>
        <v>3.3333333333333333E-2</v>
      </c>
      <c r="Q4" s="3">
        <f t="shared" si="0"/>
        <v>3.6666666666666667E-2</v>
      </c>
      <c r="R4" s="3">
        <f t="shared" si="0"/>
        <v>0.04</v>
      </c>
      <c r="S4" s="3">
        <f t="shared" si="0"/>
        <v>4.3333333333333335E-2</v>
      </c>
      <c r="T4" s="3">
        <f t="shared" si="0"/>
        <v>4.6666666666666669E-2</v>
      </c>
      <c r="U4" s="3">
        <f t="shared" si="0"/>
        <v>0.05</v>
      </c>
      <c r="V4" s="3">
        <f t="shared" si="0"/>
        <v>5.3333333333333337E-2</v>
      </c>
      <c r="W4" s="3">
        <f t="shared" si="0"/>
        <v>5.6666666666666671E-2</v>
      </c>
      <c r="X4" s="3">
        <f t="shared" si="0"/>
        <v>6.0000000000000005E-2</v>
      </c>
      <c r="Y4" s="3">
        <f t="shared" si="0"/>
        <v>6.3333333333333339E-2</v>
      </c>
      <c r="Z4" s="3">
        <f t="shared" si="0"/>
        <v>6.6666666666666666E-2</v>
      </c>
      <c r="AA4" s="3">
        <f t="shared" si="0"/>
        <v>6.9999999999999993E-2</v>
      </c>
      <c r="AB4" s="3">
        <f t="shared" si="0"/>
        <v>7.333333333333332E-2</v>
      </c>
      <c r="AC4" s="3">
        <f t="shared" si="0"/>
        <v>7.6666666666666647E-2</v>
      </c>
      <c r="AD4" s="3">
        <f t="shared" si="0"/>
        <v>7.9999999999999974E-2</v>
      </c>
      <c r="AE4" s="3">
        <f t="shared" si="0"/>
        <v>8.3333333333333301E-2</v>
      </c>
      <c r="AF4" s="3">
        <f t="shared" si="0"/>
        <v>8.6666666666666628E-2</v>
      </c>
      <c r="AG4" s="3">
        <f t="shared" si="0"/>
        <v>8.9999999999999955E-2</v>
      </c>
      <c r="AH4" s="3">
        <f t="shared" si="0"/>
        <v>9.3333333333333282E-2</v>
      </c>
      <c r="AI4" s="3">
        <f t="shared" si="0"/>
        <v>9.6666666666666609E-2</v>
      </c>
      <c r="AJ4" s="3">
        <f t="shared" si="0"/>
        <v>9.9999999999999936E-2</v>
      </c>
    </row>
    <row r="5" spans="1:36" x14ac:dyDescent="0.25">
      <c r="A5" s="4" t="s">
        <v>3</v>
      </c>
      <c r="B5" s="4">
        <v>5000</v>
      </c>
      <c r="E5" t="s">
        <v>7</v>
      </c>
      <c r="F5" s="6">
        <f>($B$3*F8)/$B$9+G5</f>
        <v>299.99999999918094</v>
      </c>
      <c r="G5" s="8">
        <v>293.33333333251426</v>
      </c>
      <c r="H5" s="8">
        <v>286.66666666584996</v>
      </c>
      <c r="I5" s="8">
        <v>279.99999999918788</v>
      </c>
      <c r="J5" s="8">
        <v>273.33333333252818</v>
      </c>
      <c r="K5" s="8">
        <v>266.66666666587071</v>
      </c>
      <c r="L5" s="8">
        <v>259.9999999992155</v>
      </c>
      <c r="M5" s="8">
        <v>253.33333333256257</v>
      </c>
      <c r="N5" s="8">
        <v>246.66666666591178</v>
      </c>
      <c r="O5" s="8">
        <v>239.99999999926314</v>
      </c>
      <c r="P5" s="8">
        <v>233.33333333261658</v>
      </c>
      <c r="Q5" s="8">
        <v>226.66666666597206</v>
      </c>
      <c r="R5" s="8">
        <v>219.9999999993295</v>
      </c>
      <c r="S5" s="8">
        <v>213.33333333268882</v>
      </c>
      <c r="T5" s="8">
        <v>206.66666666605005</v>
      </c>
      <c r="U5" s="8">
        <v>199.99999999941292</v>
      </c>
      <c r="V5" s="8">
        <v>193.33333333277753</v>
      </c>
      <c r="W5" s="8">
        <v>186.66666666614367</v>
      </c>
      <c r="X5" s="8">
        <v>179.99999999951132</v>
      </c>
      <c r="Y5" s="8">
        <v>173.33333333288033</v>
      </c>
      <c r="Z5" s="8">
        <v>166.66666666625065</v>
      </c>
      <c r="AA5" s="8">
        <v>159.9999999996221</v>
      </c>
      <c r="AB5" s="8">
        <v>153.33333333299464</v>
      </c>
      <c r="AC5" s="8">
        <v>146.6666666663682</v>
      </c>
      <c r="AD5" s="8">
        <v>139.99999999974256</v>
      </c>
      <c r="AE5" s="8">
        <v>133.33333333311771</v>
      </c>
      <c r="AF5" s="8">
        <v>126.66666666649341</v>
      </c>
      <c r="AG5" s="8">
        <v>119.99999999986966</v>
      </c>
      <c r="AH5" s="8">
        <v>113.33333333324622</v>
      </c>
      <c r="AI5" s="8">
        <v>106.66666666662306</v>
      </c>
      <c r="AJ5" s="7">
        <f>B11</f>
        <v>100</v>
      </c>
    </row>
    <row r="7" spans="1:36" x14ac:dyDescent="0.25">
      <c r="A7" s="4" t="s">
        <v>4</v>
      </c>
      <c r="B7" s="4">
        <v>460</v>
      </c>
      <c r="E7" s="4" t="s">
        <v>10</v>
      </c>
      <c r="F7" s="4"/>
      <c r="G7" s="4">
        <f>G5+(($B$9*$B$4)/($B$8*$B$7))*((H5-2*G5+F5)/($B$3^2))</f>
        <v>293.33333333251545</v>
      </c>
      <c r="H7" s="4">
        <f t="shared" ref="H7:AI7" si="1">H5+(($B$9*$B$4)/($B$8*$B$7))*((I5-2*H5+G5)/($B$3^2))</f>
        <v>286.66666666585104</v>
      </c>
      <c r="I7" s="4">
        <f t="shared" si="1"/>
        <v>279.99999999918907</v>
      </c>
      <c r="J7" s="4">
        <f t="shared" si="1"/>
        <v>273.33333333252926</v>
      </c>
      <c r="K7" s="4">
        <f t="shared" si="1"/>
        <v>266.66666666587184</v>
      </c>
      <c r="L7" s="4">
        <f t="shared" si="1"/>
        <v>259.99999999921664</v>
      </c>
      <c r="M7" s="4">
        <f t="shared" si="1"/>
        <v>253.33333333256363</v>
      </c>
      <c r="N7" s="4">
        <f t="shared" si="1"/>
        <v>246.66666666591286</v>
      </c>
      <c r="O7" s="4">
        <f t="shared" si="1"/>
        <v>239.99999999926416</v>
      </c>
      <c r="P7" s="4">
        <f t="shared" si="1"/>
        <v>233.3333333326176</v>
      </c>
      <c r="Q7" s="4">
        <f t="shared" si="1"/>
        <v>226.66666666597303</v>
      </c>
      <c r="R7" s="4">
        <f t="shared" si="1"/>
        <v>219.99999999933044</v>
      </c>
      <c r="S7" s="4">
        <f t="shared" si="1"/>
        <v>213.33333333268979</v>
      </c>
      <c r="T7" s="4">
        <f t="shared" si="1"/>
        <v>206.66666666605087</v>
      </c>
      <c r="U7" s="4">
        <f t="shared" si="1"/>
        <v>199.99999999941377</v>
      </c>
      <c r="V7" s="4">
        <f t="shared" si="1"/>
        <v>193.3333333327783</v>
      </c>
      <c r="W7" s="4">
        <f t="shared" si="1"/>
        <v>186.66666666614441</v>
      </c>
      <c r="X7" s="4">
        <f t="shared" si="1"/>
        <v>179.999999999512</v>
      </c>
      <c r="Y7" s="4">
        <f t="shared" si="1"/>
        <v>173.33333333288098</v>
      </c>
      <c r="Z7" s="4">
        <f t="shared" si="1"/>
        <v>166.66666666625122</v>
      </c>
      <c r="AA7" s="4">
        <f t="shared" si="1"/>
        <v>159.99999999962264</v>
      </c>
      <c r="AB7" s="4">
        <f t="shared" si="1"/>
        <v>153.33333333299515</v>
      </c>
      <c r="AC7" s="4">
        <f t="shared" si="1"/>
        <v>146.6666666663686</v>
      </c>
      <c r="AD7" s="4">
        <f t="shared" si="1"/>
        <v>139.99999999974295</v>
      </c>
      <c r="AE7" s="4">
        <f t="shared" si="1"/>
        <v>133.33333333311799</v>
      </c>
      <c r="AF7" s="4">
        <f t="shared" si="1"/>
        <v>126.66666666649368</v>
      </c>
      <c r="AG7" s="4">
        <f t="shared" si="1"/>
        <v>119.99999999986981</v>
      </c>
      <c r="AH7" s="4">
        <f t="shared" si="1"/>
        <v>113.33333333324636</v>
      </c>
      <c r="AI7" s="4">
        <f>AI5+(($B$9*$B$4)/($B$8*$B$7))*((AJ5-2*AI5+AH5)/($B$3^2))</f>
        <v>106.66666666662312</v>
      </c>
      <c r="AJ7" s="4">
        <v>300</v>
      </c>
    </row>
    <row r="8" spans="1:36" x14ac:dyDescent="0.25">
      <c r="A8" s="4" t="s">
        <v>5</v>
      </c>
      <c r="B8" s="4">
        <v>7800</v>
      </c>
      <c r="E8" s="4" t="s">
        <v>11</v>
      </c>
      <c r="F8" s="4">
        <f>B10</f>
        <v>92000</v>
      </c>
      <c r="G8" s="4">
        <f>-$B$9*((G5-F5)/$B$3)</f>
        <v>92000.000000000247</v>
      </c>
      <c r="H8" s="4">
        <f t="shared" ref="H8:AJ8" si="2">-$B$9*((H5-G5)/$B$3)</f>
        <v>91999.999999967302</v>
      </c>
      <c r="I8" s="4">
        <f t="shared" si="2"/>
        <v>91999.999999936714</v>
      </c>
      <c r="J8" s="4">
        <f t="shared" si="2"/>
        <v>91999.999999903768</v>
      </c>
      <c r="K8" s="4">
        <f t="shared" si="2"/>
        <v>91999.999999873166</v>
      </c>
      <c r="L8" s="4">
        <f t="shared" si="2"/>
        <v>91999.999999841792</v>
      </c>
      <c r="M8" s="4">
        <f t="shared" si="2"/>
        <v>91999.999999810418</v>
      </c>
      <c r="N8" s="4">
        <f t="shared" si="2"/>
        <v>91999.999999781008</v>
      </c>
      <c r="O8" s="4">
        <f t="shared" si="2"/>
        <v>91999.999999751191</v>
      </c>
      <c r="P8" s="4">
        <f t="shared" si="2"/>
        <v>91999.999999722553</v>
      </c>
      <c r="Q8" s="4">
        <f t="shared" si="2"/>
        <v>91999.999999694322</v>
      </c>
      <c r="R8" s="4">
        <f t="shared" si="2"/>
        <v>91999.999999667256</v>
      </c>
      <c r="S8" s="4">
        <f t="shared" si="2"/>
        <v>91999.999999641383</v>
      </c>
      <c r="T8" s="4">
        <f t="shared" si="2"/>
        <v>91999.999999615087</v>
      </c>
      <c r="U8" s="4">
        <f t="shared" si="2"/>
        <v>91999.999999592343</v>
      </c>
      <c r="V8" s="4">
        <f t="shared" si="2"/>
        <v>91999.999999568419</v>
      </c>
      <c r="W8" s="4">
        <f t="shared" si="2"/>
        <v>91999.999999547246</v>
      </c>
      <c r="X8" s="4">
        <f t="shared" si="2"/>
        <v>91999.999999526452</v>
      </c>
      <c r="Y8" s="4">
        <f t="shared" si="2"/>
        <v>91999.999999507621</v>
      </c>
      <c r="Z8" s="4">
        <f t="shared" si="2"/>
        <v>91999.999999489577</v>
      </c>
      <c r="AA8" s="4">
        <f t="shared" si="2"/>
        <v>91999.99999947389</v>
      </c>
      <c r="AB8" s="4">
        <f t="shared" si="2"/>
        <v>91999.999999458989</v>
      </c>
      <c r="AC8" s="4">
        <f t="shared" si="2"/>
        <v>91999.999999444874</v>
      </c>
      <c r="AD8" s="4">
        <f t="shared" si="2"/>
        <v>91999.999999433887</v>
      </c>
      <c r="AE8" s="4">
        <f t="shared" si="2"/>
        <v>91999.9999994229</v>
      </c>
      <c r="AF8" s="4">
        <f t="shared" si="2"/>
        <v>91999.99999941526</v>
      </c>
      <c r="AG8" s="4">
        <f t="shared" si="2"/>
        <v>91999.99999940781</v>
      </c>
      <c r="AH8" s="4">
        <f t="shared" si="2"/>
        <v>91999.999999403488</v>
      </c>
      <c r="AI8" s="4">
        <f t="shared" si="2"/>
        <v>91999.999999399573</v>
      </c>
      <c r="AJ8" s="4">
        <f t="shared" si="2"/>
        <v>91999.999999398206</v>
      </c>
    </row>
    <row r="9" spans="1:36" x14ac:dyDescent="0.25">
      <c r="A9" s="4" t="s">
        <v>6</v>
      </c>
      <c r="B9" s="4">
        <v>46</v>
      </c>
    </row>
    <row r="10" spans="1:36" x14ac:dyDescent="0.25">
      <c r="A10" s="4" t="s">
        <v>12</v>
      </c>
      <c r="B10" s="4">
        <v>92000</v>
      </c>
    </row>
    <row r="11" spans="1:36" x14ac:dyDescent="0.25">
      <c r="A11" s="4" t="s">
        <v>9</v>
      </c>
      <c r="B11" s="4">
        <v>100</v>
      </c>
    </row>
    <row r="12" spans="1:36" x14ac:dyDescent="0.25">
      <c r="C12">
        <v>5000.2333333333336</v>
      </c>
    </row>
  </sheetData>
  <conditionalFormatting sqref="F5:AJ5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C795B-BC74-4077-9B54-029CC32EFF2A}">
  <sheetPr codeName="Лист3"/>
  <dimension ref="A1:AJ13"/>
  <sheetViews>
    <sheetView tabSelected="1" workbookViewId="0">
      <selection activeCell="T18" sqref="T18"/>
    </sheetView>
  </sheetViews>
  <sheetFormatPr defaultRowHeight="15" x14ac:dyDescent="0.25"/>
  <cols>
    <col min="5" max="5" width="12.140625" bestFit="1" customWidth="1"/>
  </cols>
  <sheetData>
    <row r="1" spans="1:36" x14ac:dyDescent="0.25">
      <c r="A1" s="4"/>
      <c r="B1" s="4"/>
    </row>
    <row r="2" spans="1:36" x14ac:dyDescent="0.25">
      <c r="A2" s="23" t="s">
        <v>0</v>
      </c>
      <c r="B2" s="13">
        <v>0.1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x14ac:dyDescent="0.25">
      <c r="A3" s="23" t="s">
        <v>1</v>
      </c>
      <c r="B3" s="13">
        <f>B2/30</f>
        <v>3.3333333333333335E-3</v>
      </c>
      <c r="E3" s="13"/>
      <c r="F3" s="22">
        <v>1</v>
      </c>
      <c r="G3" s="13">
        <v>2</v>
      </c>
      <c r="H3" s="13">
        <v>3</v>
      </c>
      <c r="I3" s="13">
        <v>4</v>
      </c>
      <c r="J3" s="13">
        <v>5</v>
      </c>
      <c r="K3" s="13">
        <v>6</v>
      </c>
      <c r="L3" s="13">
        <v>7</v>
      </c>
      <c r="M3" s="13">
        <v>8</v>
      </c>
      <c r="N3" s="13">
        <v>9</v>
      </c>
      <c r="O3" s="13">
        <v>10</v>
      </c>
      <c r="P3" s="13">
        <v>11</v>
      </c>
      <c r="Q3" s="13">
        <v>12</v>
      </c>
      <c r="R3" s="13">
        <v>13</v>
      </c>
      <c r="S3" s="13">
        <v>14</v>
      </c>
      <c r="T3" s="13">
        <v>15</v>
      </c>
      <c r="U3" s="13">
        <v>16</v>
      </c>
      <c r="V3" s="13">
        <v>17</v>
      </c>
      <c r="W3" s="13">
        <v>18</v>
      </c>
      <c r="X3" s="13">
        <v>19</v>
      </c>
      <c r="Y3" s="13">
        <v>20</v>
      </c>
      <c r="Z3" s="13">
        <v>21</v>
      </c>
      <c r="AA3" s="13">
        <v>22</v>
      </c>
      <c r="AB3" s="13">
        <v>23</v>
      </c>
      <c r="AC3" s="13">
        <v>24</v>
      </c>
      <c r="AD3" s="13">
        <v>25</v>
      </c>
      <c r="AE3" s="13">
        <v>26</v>
      </c>
      <c r="AF3" s="13">
        <v>27</v>
      </c>
      <c r="AG3" s="13">
        <v>28</v>
      </c>
      <c r="AH3" s="13">
        <v>29</v>
      </c>
      <c r="AI3" s="13">
        <v>30</v>
      </c>
      <c r="AJ3" s="13">
        <v>31</v>
      </c>
    </row>
    <row r="4" spans="1:36" x14ac:dyDescent="0.25">
      <c r="A4" s="23" t="s">
        <v>2</v>
      </c>
      <c r="B4" s="13">
        <f>(B3*B8*B7*B3)/(2*B9)</f>
        <v>0.43333333333333335</v>
      </c>
      <c r="E4" s="23" t="s">
        <v>0</v>
      </c>
      <c r="F4" s="7">
        <v>0</v>
      </c>
      <c r="G4" s="3">
        <f>F4+$B$3</f>
        <v>3.3333333333333335E-3</v>
      </c>
      <c r="H4" s="3">
        <f t="shared" ref="H4:AJ4" si="0">G4+$B$3</f>
        <v>6.6666666666666671E-3</v>
      </c>
      <c r="I4" s="3">
        <f t="shared" si="0"/>
        <v>0.01</v>
      </c>
      <c r="J4" s="3">
        <f t="shared" si="0"/>
        <v>1.3333333333333334E-2</v>
      </c>
      <c r="K4" s="3">
        <f t="shared" si="0"/>
        <v>1.6666666666666666E-2</v>
      </c>
      <c r="L4" s="3">
        <f t="shared" si="0"/>
        <v>0.02</v>
      </c>
      <c r="M4" s="3">
        <f t="shared" si="0"/>
        <v>2.3333333333333334E-2</v>
      </c>
      <c r="N4" s="3">
        <f t="shared" si="0"/>
        <v>2.6666666666666668E-2</v>
      </c>
      <c r="O4" s="3">
        <f t="shared" si="0"/>
        <v>3.0000000000000002E-2</v>
      </c>
      <c r="P4" s="3">
        <f t="shared" si="0"/>
        <v>3.3333333333333333E-2</v>
      </c>
      <c r="Q4" s="3">
        <f t="shared" si="0"/>
        <v>3.6666666666666667E-2</v>
      </c>
      <c r="R4" s="3">
        <f t="shared" si="0"/>
        <v>0.04</v>
      </c>
      <c r="S4" s="3">
        <f t="shared" si="0"/>
        <v>4.3333333333333335E-2</v>
      </c>
      <c r="T4" s="3">
        <f t="shared" si="0"/>
        <v>4.6666666666666669E-2</v>
      </c>
      <c r="U4" s="3">
        <f t="shared" si="0"/>
        <v>0.05</v>
      </c>
      <c r="V4" s="3">
        <f t="shared" si="0"/>
        <v>5.3333333333333337E-2</v>
      </c>
      <c r="W4" s="3">
        <f t="shared" si="0"/>
        <v>5.6666666666666671E-2</v>
      </c>
      <c r="X4" s="3">
        <f t="shared" si="0"/>
        <v>6.0000000000000005E-2</v>
      </c>
      <c r="Y4" s="3">
        <f t="shared" si="0"/>
        <v>6.3333333333333339E-2</v>
      </c>
      <c r="Z4" s="3">
        <f t="shared" si="0"/>
        <v>6.6666666666666666E-2</v>
      </c>
      <c r="AA4" s="3">
        <f t="shared" si="0"/>
        <v>6.9999999999999993E-2</v>
      </c>
      <c r="AB4" s="3">
        <f t="shared" si="0"/>
        <v>7.333333333333332E-2</v>
      </c>
      <c r="AC4" s="3">
        <f t="shared" si="0"/>
        <v>7.6666666666666647E-2</v>
      </c>
      <c r="AD4" s="3">
        <f t="shared" si="0"/>
        <v>7.9999999999999974E-2</v>
      </c>
      <c r="AE4" s="3">
        <f t="shared" si="0"/>
        <v>8.3333333333333301E-2</v>
      </c>
      <c r="AF4" s="3">
        <f t="shared" si="0"/>
        <v>8.6666666666666628E-2</v>
      </c>
      <c r="AG4" s="3">
        <f t="shared" si="0"/>
        <v>8.9999999999999955E-2</v>
      </c>
      <c r="AH4" s="3">
        <f t="shared" si="0"/>
        <v>9.3333333333333282E-2</v>
      </c>
      <c r="AI4" s="3">
        <f t="shared" si="0"/>
        <v>9.6666666666666609E-2</v>
      </c>
      <c r="AJ4" s="3">
        <f t="shared" si="0"/>
        <v>9.9999999999999936E-2</v>
      </c>
    </row>
    <row r="5" spans="1:36" x14ac:dyDescent="0.25">
      <c r="A5" s="23" t="s">
        <v>3</v>
      </c>
      <c r="B5" s="13">
        <v>20</v>
      </c>
      <c r="E5" s="23" t="s">
        <v>7</v>
      </c>
      <c r="F5" s="10">
        <v>300</v>
      </c>
      <c r="G5" s="6">
        <v>299.81884057971013</v>
      </c>
      <c r="H5" s="6">
        <v>299.63800934677585</v>
      </c>
      <c r="I5" s="6">
        <v>299.4575057066549</v>
      </c>
      <c r="J5" s="6">
        <v>299.27732906588199</v>
      </c>
      <c r="K5" s="6">
        <v>299.097478832067</v>
      </c>
      <c r="L5" s="6">
        <v>298.91795441389297</v>
      </c>
      <c r="M5" s="6">
        <v>298.73875522111416</v>
      </c>
      <c r="N5" s="6">
        <v>298.55988066455416</v>
      </c>
      <c r="O5" s="6">
        <v>298.3813301561039</v>
      </c>
      <c r="P5" s="6">
        <v>298.20310310871963</v>
      </c>
      <c r="Q5" s="6">
        <v>298.02519893642125</v>
      </c>
      <c r="R5" s="6">
        <v>297.84761705429003</v>
      </c>
      <c r="S5" s="6">
        <v>297.67035687846703</v>
      </c>
      <c r="T5" s="6">
        <v>297.49341782615096</v>
      </c>
      <c r="U5" s="6">
        <v>297.31679931559631</v>
      </c>
      <c r="V5" s="6">
        <v>297.14050076611153</v>
      </c>
      <c r="W5" s="6">
        <v>296.96452159805699</v>
      </c>
      <c r="X5" s="6">
        <v>296.78886123284315</v>
      </c>
      <c r="Y5" s="6">
        <v>296.61351909292858</v>
      </c>
      <c r="Z5" s="6">
        <v>296.43849460181821</v>
      </c>
      <c r="AA5" s="6">
        <v>296.2637871840613</v>
      </c>
      <c r="AB5" s="6">
        <v>296.0893962652496</v>
      </c>
      <c r="AC5" s="6">
        <v>295.91532127201543</v>
      </c>
      <c r="AD5" s="6">
        <v>295.74156163202991</v>
      </c>
      <c r="AE5" s="6">
        <v>295.56811677400088</v>
      </c>
      <c r="AF5" s="6">
        <v>295.39498612767119</v>
      </c>
      <c r="AG5" s="6">
        <v>295.22216912381668</v>
      </c>
      <c r="AH5" s="6">
        <v>295.04966519424454</v>
      </c>
      <c r="AI5" s="6">
        <v>294.87747377179119</v>
      </c>
      <c r="AJ5" s="6">
        <v>294.70559429032056</v>
      </c>
    </row>
    <row r="6" spans="1:36" x14ac:dyDescent="0.25">
      <c r="A6" s="14"/>
      <c r="B6" s="14"/>
      <c r="E6" s="23" t="s">
        <v>7</v>
      </c>
      <c r="F6" s="9">
        <v>105.28508088177658</v>
      </c>
      <c r="G6" s="6">
        <v>105.11349588337401</v>
      </c>
      <c r="H6" s="6">
        <v>104.94160004258302</v>
      </c>
      <c r="I6" s="6">
        <v>104.76939279628337</v>
      </c>
      <c r="J6" s="6">
        <v>104.59687358033462</v>
      </c>
      <c r="K6" s="6">
        <v>104.42404182957436</v>
      </c>
      <c r="L6" s="6">
        <v>104.25089697781635</v>
      </c>
      <c r="M6" s="6">
        <v>104.07743845784863</v>
      </c>
      <c r="N6" s="6">
        <v>103.90366570143169</v>
      </c>
      <c r="O6" s="6">
        <v>103.72957813929662</v>
      </c>
      <c r="P6" s="6">
        <v>103.55517520114319</v>
      </c>
      <c r="Q6" s="6">
        <v>103.380456315638</v>
      </c>
      <c r="R6" s="6">
        <v>103.20542091041271</v>
      </c>
      <c r="S6" s="6">
        <v>103.03006841206202</v>
      </c>
      <c r="T6" s="6">
        <v>102.85439824614186</v>
      </c>
      <c r="U6" s="6">
        <v>102.67840983716746</v>
      </c>
      <c r="V6" s="6">
        <v>102.50210260861162</v>
      </c>
      <c r="W6" s="6">
        <v>102.32547598290259</v>
      </c>
      <c r="X6" s="6">
        <v>102.14852938142234</v>
      </c>
      <c r="Y6" s="6">
        <v>101.97126222450463</v>
      </c>
      <c r="Z6" s="6">
        <v>101.79367393143308</v>
      </c>
      <c r="AA6" s="6">
        <v>101.61576392043931</v>
      </c>
      <c r="AB6" s="6">
        <v>101.43753160870098</v>
      </c>
      <c r="AC6" s="6">
        <v>101.25897641233993</v>
      </c>
      <c r="AD6" s="6">
        <v>101.08009774642028</v>
      </c>
      <c r="AE6" s="6">
        <v>100.90089502494642</v>
      </c>
      <c r="AF6" s="6">
        <v>100.72136766086119</v>
      </c>
      <c r="AG6" s="6">
        <v>100.54151506604391</v>
      </c>
      <c r="AH6" s="6">
        <v>100.36133665130849</v>
      </c>
      <c r="AI6" s="6">
        <v>100.18083182640144</v>
      </c>
      <c r="AJ6" s="9">
        <v>100</v>
      </c>
    </row>
    <row r="7" spans="1:36" x14ac:dyDescent="0.25">
      <c r="A7" s="23" t="s">
        <v>4</v>
      </c>
      <c r="B7" s="13">
        <v>460</v>
      </c>
    </row>
    <row r="8" spans="1:36" x14ac:dyDescent="0.25">
      <c r="A8" s="23" t="s">
        <v>5</v>
      </c>
      <c r="B8" s="13">
        <v>7800</v>
      </c>
      <c r="E8" s="23" t="s">
        <v>15</v>
      </c>
      <c r="F8" s="4">
        <f t="shared" ref="F8:K8" si="1">($B$12*$B$13+$B$9*G6/$B$3)/($B$9/$B$3+$B$12)</f>
        <v>105.28508088177658</v>
      </c>
      <c r="G8" s="4">
        <f t="shared" si="1"/>
        <v>105.11349588337401</v>
      </c>
      <c r="H8" s="4">
        <f t="shared" si="1"/>
        <v>104.94160004258302</v>
      </c>
      <c r="I8" s="4">
        <f t="shared" si="1"/>
        <v>104.76939279628337</v>
      </c>
      <c r="J8" s="4">
        <f t="shared" si="1"/>
        <v>104.59687358033462</v>
      </c>
      <c r="K8" s="4">
        <f t="shared" si="1"/>
        <v>104.42404182957436</v>
      </c>
      <c r="L8" s="4">
        <f t="shared" ref="L8:AH8" si="2">($B$12*$B$13+$B$9*M6/$B$3)/($B$9/$B$3+$B$12)</f>
        <v>104.25089697781635</v>
      </c>
      <c r="M8" s="4">
        <f t="shared" si="2"/>
        <v>104.07743845784863</v>
      </c>
      <c r="N8" s="4">
        <f t="shared" si="2"/>
        <v>103.90366570143169</v>
      </c>
      <c r="O8" s="4">
        <f t="shared" si="2"/>
        <v>103.72957813929662</v>
      </c>
      <c r="P8" s="4">
        <f t="shared" si="2"/>
        <v>103.55517520114319</v>
      </c>
      <c r="Q8" s="4">
        <f t="shared" si="2"/>
        <v>103.380456315638</v>
      </c>
      <c r="R8" s="4">
        <f t="shared" si="2"/>
        <v>103.20542091041271</v>
      </c>
      <c r="S8" s="4">
        <f t="shared" si="2"/>
        <v>103.03006841206202</v>
      </c>
      <c r="T8" s="4">
        <f t="shared" si="2"/>
        <v>102.85439824614186</v>
      </c>
      <c r="U8" s="4">
        <f t="shared" si="2"/>
        <v>102.67840983716746</v>
      </c>
      <c r="V8" s="4">
        <f t="shared" si="2"/>
        <v>102.50210260861162</v>
      </c>
      <c r="W8" s="4">
        <f t="shared" si="2"/>
        <v>102.32547598290259</v>
      </c>
      <c r="X8" s="4">
        <f t="shared" si="2"/>
        <v>102.14852938142234</v>
      </c>
      <c r="Y8" s="4">
        <f t="shared" si="2"/>
        <v>101.97126222450463</v>
      </c>
      <c r="Z8" s="4">
        <f t="shared" si="2"/>
        <v>101.79367393143308</v>
      </c>
      <c r="AA8" s="4">
        <f t="shared" si="2"/>
        <v>101.61576392043931</v>
      </c>
      <c r="AB8" s="4">
        <f t="shared" si="2"/>
        <v>101.43753160870098</v>
      </c>
      <c r="AC8" s="4">
        <f t="shared" si="2"/>
        <v>101.25897641233993</v>
      </c>
      <c r="AD8" s="4">
        <f t="shared" si="2"/>
        <v>101.08009774642028</v>
      </c>
      <c r="AE8" s="4">
        <f t="shared" si="2"/>
        <v>100.90089502494642</v>
      </c>
      <c r="AF8" s="4">
        <f t="shared" si="2"/>
        <v>100.72136766086119</v>
      </c>
      <c r="AG8" s="4">
        <f t="shared" si="2"/>
        <v>100.54151506604391</v>
      </c>
      <c r="AH8" s="4">
        <f t="shared" si="2"/>
        <v>100.36133665130849</v>
      </c>
      <c r="AI8" s="4">
        <f>($B$12*$B$13+$B$9*AJ6/$B$3)/($B$9/$B$3+$B$12)</f>
        <v>100.18083182640144</v>
      </c>
      <c r="AJ8" s="4">
        <v>100</v>
      </c>
    </row>
    <row r="9" spans="1:36" x14ac:dyDescent="0.25">
      <c r="A9" s="24" t="s">
        <v>6</v>
      </c>
      <c r="B9" s="26">
        <v>46</v>
      </c>
      <c r="E9" s="23" t="s">
        <v>16</v>
      </c>
      <c r="F9" s="4">
        <v>300</v>
      </c>
      <c r="G9" s="4">
        <f>-(($B$12*(F5-$B$13)*$B$3)/$B$9)+F5</f>
        <v>299.81884057971013</v>
      </c>
      <c r="H9" s="4">
        <f t="shared" ref="H9:AJ9" si="3">-(($B$12*(G5-$B$13)*$B$3)/$B$9)+G5</f>
        <v>299.63800934677585</v>
      </c>
      <c r="I9" s="4">
        <f t="shared" si="3"/>
        <v>299.4575057066549</v>
      </c>
      <c r="J9" s="4">
        <f t="shared" si="3"/>
        <v>299.27732906588199</v>
      </c>
      <c r="K9" s="4">
        <f t="shared" si="3"/>
        <v>299.097478832067</v>
      </c>
      <c r="L9" s="4">
        <f t="shared" si="3"/>
        <v>298.91795441389297</v>
      </c>
      <c r="M9" s="4">
        <f t="shared" si="3"/>
        <v>298.73875522111416</v>
      </c>
      <c r="N9" s="4">
        <f t="shared" si="3"/>
        <v>298.55988066455416</v>
      </c>
      <c r="O9" s="4">
        <f t="shared" si="3"/>
        <v>298.3813301561039</v>
      </c>
      <c r="P9" s="4">
        <f t="shared" si="3"/>
        <v>298.20310310871963</v>
      </c>
      <c r="Q9" s="4">
        <f t="shared" si="3"/>
        <v>298.02519893642125</v>
      </c>
      <c r="R9" s="4">
        <f t="shared" si="3"/>
        <v>297.84761705429003</v>
      </c>
      <c r="S9" s="4">
        <f t="shared" si="3"/>
        <v>297.67035687846703</v>
      </c>
      <c r="T9" s="4">
        <f t="shared" si="3"/>
        <v>297.49341782615096</v>
      </c>
      <c r="U9" s="4">
        <f t="shared" si="3"/>
        <v>297.31679931559631</v>
      </c>
      <c r="V9" s="4">
        <f t="shared" si="3"/>
        <v>297.14050076611153</v>
      </c>
      <c r="W9" s="4">
        <f t="shared" si="3"/>
        <v>296.96452159805699</v>
      </c>
      <c r="X9" s="4">
        <f t="shared" si="3"/>
        <v>296.78886123284315</v>
      </c>
      <c r="Y9" s="4">
        <f t="shared" si="3"/>
        <v>296.61351909292858</v>
      </c>
      <c r="Z9" s="4">
        <f t="shared" si="3"/>
        <v>296.43849460181821</v>
      </c>
      <c r="AA9" s="4">
        <f t="shared" si="3"/>
        <v>296.2637871840613</v>
      </c>
      <c r="AB9" s="4">
        <f t="shared" si="3"/>
        <v>296.0893962652496</v>
      </c>
      <c r="AC9" s="4">
        <f t="shared" si="3"/>
        <v>295.91532127201543</v>
      </c>
      <c r="AD9" s="4">
        <f t="shared" si="3"/>
        <v>295.74156163202991</v>
      </c>
      <c r="AE9" s="4">
        <f t="shared" si="3"/>
        <v>295.56811677400088</v>
      </c>
      <c r="AF9" s="4">
        <f t="shared" si="3"/>
        <v>295.39498612767119</v>
      </c>
      <c r="AG9" s="4">
        <f t="shared" si="3"/>
        <v>295.22216912381668</v>
      </c>
      <c r="AH9" s="4">
        <f t="shared" si="3"/>
        <v>295.04966519424454</v>
      </c>
      <c r="AI9" s="4">
        <f t="shared" si="3"/>
        <v>294.87747377179119</v>
      </c>
      <c r="AJ9" s="4">
        <f t="shared" si="3"/>
        <v>294.70559429032056</v>
      </c>
    </row>
    <row r="10" spans="1:36" x14ac:dyDescent="0.25">
      <c r="A10" s="27"/>
      <c r="B10" s="27"/>
      <c r="C10" s="16"/>
    </row>
    <row r="11" spans="1:36" x14ac:dyDescent="0.25">
      <c r="A11" s="25" t="s">
        <v>9</v>
      </c>
      <c r="B11" s="28">
        <v>100</v>
      </c>
    </row>
    <row r="12" spans="1:36" x14ac:dyDescent="0.25">
      <c r="A12" s="23" t="s">
        <v>13</v>
      </c>
      <c r="B12" s="13">
        <v>25</v>
      </c>
      <c r="C12">
        <v>20.366666666666667</v>
      </c>
    </row>
    <row r="13" spans="1:36" x14ac:dyDescent="0.25">
      <c r="A13" s="23" t="s">
        <v>14</v>
      </c>
      <c r="B13" s="13">
        <v>200</v>
      </c>
    </row>
  </sheetData>
  <conditionalFormatting sqref="F5:AJ5 G6:AI6">
    <cfRule type="colorScale" priority="4">
      <colorScale>
        <cfvo type="min"/>
        <cfvo type="percentile" val="50"/>
        <cfvo type="max"/>
        <color rgb="FF0070C0"/>
        <color rgb="FFFFEB84"/>
        <color rgb="FFFF0000"/>
      </colorScale>
    </cfRule>
  </conditionalFormatting>
  <conditionalFormatting sqref="AJ6 F6">
    <cfRule type="colorScale" priority="3">
      <colorScale>
        <cfvo type="min"/>
        <cfvo type="percentile" val="50"/>
        <cfvo type="max"/>
        <color rgb="FF1808E8"/>
        <color rgb="FFFFEB84"/>
        <color rgb="FFFF0000"/>
      </colorScale>
    </cfRule>
  </conditionalFormatting>
  <conditionalFormatting sqref="F6:AJ6">
    <cfRule type="colorScale" priority="2">
      <colorScale>
        <cfvo type="min"/>
        <cfvo type="percentile" val="50"/>
        <cfvo type="max"/>
        <color rgb="FF1808E8"/>
        <color rgb="FFFFEB84"/>
        <color rgb="FFFF0000"/>
      </colorScale>
    </cfRule>
  </conditionalFormatting>
  <conditionalFormatting sqref="F5:AJ5">
    <cfRule type="colorScale" priority="1">
      <colorScale>
        <cfvo type="min"/>
        <cfvo type="percentile" val="50"/>
        <cfvo type="max"/>
        <color rgb="FF1808E8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r">
                <anchor moveWithCells="1">
                  <from>
                    <xdr:col>0</xdr:col>
                    <xdr:colOff>219075</xdr:colOff>
                    <xdr:row>14</xdr:row>
                    <xdr:rowOff>104775</xdr:rowOff>
                  </from>
                  <to>
                    <xdr:col>3</xdr:col>
                    <xdr:colOff>0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B5279-2D61-4557-89E2-D3A7820E1B6A}">
  <sheetPr codeName="Лист4"/>
  <dimension ref="A1:AL11"/>
  <sheetViews>
    <sheetView workbookViewId="0">
      <selection activeCell="G5" sqref="G5"/>
    </sheetView>
  </sheetViews>
  <sheetFormatPr defaultRowHeight="15" x14ac:dyDescent="0.25"/>
  <sheetData>
    <row r="1" spans="1:38" x14ac:dyDescent="0.25">
      <c r="A1" s="15"/>
      <c r="B1" s="15"/>
    </row>
    <row r="2" spans="1:38" x14ac:dyDescent="0.25">
      <c r="A2" s="13" t="s">
        <v>0</v>
      </c>
      <c r="B2" s="11">
        <v>0.05</v>
      </c>
      <c r="C2" s="12">
        <v>0.05</v>
      </c>
      <c r="D2" s="16"/>
      <c r="G2" s="18">
        <v>0</v>
      </c>
      <c r="H2" s="18">
        <f>$B$3+G2</f>
        <v>3.3333333333333335E-3</v>
      </c>
      <c r="I2" s="18">
        <f t="shared" ref="I2:AL2" si="0">$B$3+H2</f>
        <v>6.6666666666666671E-3</v>
      </c>
      <c r="J2" s="18">
        <f t="shared" si="0"/>
        <v>0.01</v>
      </c>
      <c r="K2" s="18">
        <f t="shared" si="0"/>
        <v>1.3333333333333334E-2</v>
      </c>
      <c r="L2" s="18">
        <f t="shared" si="0"/>
        <v>1.6666666666666666E-2</v>
      </c>
      <c r="M2" s="18">
        <f t="shared" si="0"/>
        <v>0.02</v>
      </c>
      <c r="N2" s="18">
        <f t="shared" si="0"/>
        <v>2.3333333333333334E-2</v>
      </c>
      <c r="O2" s="18">
        <f t="shared" si="0"/>
        <v>2.6666666666666668E-2</v>
      </c>
      <c r="P2" s="18">
        <f t="shared" si="0"/>
        <v>3.0000000000000002E-2</v>
      </c>
      <c r="Q2" s="18">
        <f t="shared" si="0"/>
        <v>3.3333333333333333E-2</v>
      </c>
      <c r="R2" s="18">
        <f t="shared" si="0"/>
        <v>3.6666666666666667E-2</v>
      </c>
      <c r="S2" s="18">
        <f t="shared" si="0"/>
        <v>0.04</v>
      </c>
      <c r="T2" s="18">
        <f t="shared" si="0"/>
        <v>4.3333333333333335E-2</v>
      </c>
      <c r="U2" s="18">
        <f t="shared" si="0"/>
        <v>4.6666666666666669E-2</v>
      </c>
      <c r="V2" s="18">
        <f t="shared" si="0"/>
        <v>0.05</v>
      </c>
      <c r="W2" s="18">
        <v>0.05</v>
      </c>
      <c r="X2" s="18">
        <f t="shared" si="0"/>
        <v>5.3333333333333337E-2</v>
      </c>
      <c r="Y2" s="18">
        <f t="shared" si="0"/>
        <v>5.6666666666666671E-2</v>
      </c>
      <c r="Z2" s="18">
        <f t="shared" si="0"/>
        <v>6.0000000000000005E-2</v>
      </c>
      <c r="AA2" s="18">
        <f t="shared" si="0"/>
        <v>6.3333333333333339E-2</v>
      </c>
      <c r="AB2" s="18">
        <f t="shared" si="0"/>
        <v>6.6666666666666666E-2</v>
      </c>
      <c r="AC2" s="18">
        <f t="shared" si="0"/>
        <v>6.9999999999999993E-2</v>
      </c>
      <c r="AD2" s="18">
        <f t="shared" si="0"/>
        <v>7.333333333333332E-2</v>
      </c>
      <c r="AE2" s="18">
        <f t="shared" si="0"/>
        <v>7.6666666666666647E-2</v>
      </c>
      <c r="AF2" s="18">
        <f t="shared" si="0"/>
        <v>7.9999999999999974E-2</v>
      </c>
      <c r="AG2" s="18">
        <f t="shared" si="0"/>
        <v>8.3333333333333301E-2</v>
      </c>
      <c r="AH2" s="18">
        <f t="shared" si="0"/>
        <v>8.6666666666666628E-2</v>
      </c>
      <c r="AI2" s="18">
        <f t="shared" si="0"/>
        <v>8.9999999999999955E-2</v>
      </c>
      <c r="AJ2" s="18">
        <f t="shared" si="0"/>
        <v>9.3333333333333282E-2</v>
      </c>
      <c r="AK2" s="18">
        <f t="shared" si="0"/>
        <v>9.6666666666666609E-2</v>
      </c>
      <c r="AL2" s="18">
        <f t="shared" si="0"/>
        <v>9.9999999999999936E-2</v>
      </c>
    </row>
    <row r="3" spans="1:38" x14ac:dyDescent="0.25">
      <c r="A3" s="13" t="s">
        <v>1</v>
      </c>
      <c r="B3" s="11">
        <f>B2/15</f>
        <v>3.3333333333333335E-3</v>
      </c>
      <c r="C3" s="12">
        <f>C2/15</f>
        <v>3.3333333333333335E-3</v>
      </c>
      <c r="D3" s="17"/>
      <c r="F3" s="13"/>
      <c r="G3" s="19">
        <v>1</v>
      </c>
      <c r="H3" s="19">
        <v>2</v>
      </c>
      <c r="I3" s="19">
        <v>3</v>
      </c>
      <c r="J3" s="19">
        <v>4</v>
      </c>
      <c r="K3" s="19">
        <v>5</v>
      </c>
      <c r="L3" s="19">
        <v>6</v>
      </c>
      <c r="M3" s="19">
        <v>7</v>
      </c>
      <c r="N3" s="19">
        <v>8</v>
      </c>
      <c r="O3" s="19">
        <v>9</v>
      </c>
      <c r="P3" s="19">
        <v>10</v>
      </c>
      <c r="Q3" s="19">
        <v>11</v>
      </c>
      <c r="R3" s="19">
        <v>12</v>
      </c>
      <c r="S3" s="19">
        <v>13</v>
      </c>
      <c r="T3" s="19">
        <v>14</v>
      </c>
      <c r="U3" s="19">
        <v>15</v>
      </c>
      <c r="V3" s="19">
        <v>16</v>
      </c>
      <c r="W3" s="20">
        <v>17</v>
      </c>
      <c r="X3" s="20">
        <v>18</v>
      </c>
      <c r="Y3" s="20">
        <v>19</v>
      </c>
      <c r="Z3" s="20">
        <v>20</v>
      </c>
      <c r="AA3" s="20">
        <v>21</v>
      </c>
      <c r="AB3" s="20">
        <v>22</v>
      </c>
      <c r="AC3" s="20">
        <v>23</v>
      </c>
      <c r="AD3" s="20">
        <v>24</v>
      </c>
      <c r="AE3" s="20">
        <v>25</v>
      </c>
      <c r="AF3" s="20">
        <v>26</v>
      </c>
      <c r="AG3" s="20">
        <v>27</v>
      </c>
      <c r="AH3" s="20">
        <v>28</v>
      </c>
      <c r="AI3" s="20">
        <v>29</v>
      </c>
      <c r="AJ3" s="20">
        <v>30</v>
      </c>
      <c r="AK3" s="20">
        <v>31</v>
      </c>
      <c r="AL3" s="20">
        <v>32</v>
      </c>
    </row>
    <row r="4" spans="1:38" x14ac:dyDescent="0.25">
      <c r="A4" s="13" t="s">
        <v>2</v>
      </c>
      <c r="B4" s="11">
        <f>(B3*B8*B7*B3)/(2*B9)</f>
        <v>0.43333333333333335</v>
      </c>
      <c r="C4" s="12">
        <f>(C3*C8*C7*C3)/(2*C9)</f>
        <v>5.0842616395315635E-2</v>
      </c>
      <c r="D4" s="16"/>
      <c r="F4" s="13" t="s">
        <v>0</v>
      </c>
      <c r="G4" s="3">
        <v>0</v>
      </c>
      <c r="H4" s="3">
        <f>G4+$B$3</f>
        <v>3.3333333333333335E-3</v>
      </c>
      <c r="I4" s="3">
        <f t="shared" ref="I4:V4" si="1">H4+$B$3</f>
        <v>6.6666666666666671E-3</v>
      </c>
      <c r="J4" s="3">
        <f t="shared" si="1"/>
        <v>0.01</v>
      </c>
      <c r="K4" s="3">
        <f t="shared" si="1"/>
        <v>1.3333333333333334E-2</v>
      </c>
      <c r="L4" s="3">
        <f t="shared" si="1"/>
        <v>1.6666666666666666E-2</v>
      </c>
      <c r="M4" s="3">
        <f t="shared" si="1"/>
        <v>0.02</v>
      </c>
      <c r="N4" s="3">
        <f t="shared" si="1"/>
        <v>2.3333333333333334E-2</v>
      </c>
      <c r="O4" s="3">
        <f t="shared" si="1"/>
        <v>2.6666666666666668E-2</v>
      </c>
      <c r="P4" s="3">
        <f t="shared" si="1"/>
        <v>3.0000000000000002E-2</v>
      </c>
      <c r="Q4" s="3">
        <f t="shared" si="1"/>
        <v>3.3333333333333333E-2</v>
      </c>
      <c r="R4" s="3">
        <f t="shared" si="1"/>
        <v>3.6666666666666667E-2</v>
      </c>
      <c r="S4" s="3">
        <f t="shared" si="1"/>
        <v>0.04</v>
      </c>
      <c r="T4" s="3">
        <f t="shared" si="1"/>
        <v>4.3333333333333335E-2</v>
      </c>
      <c r="U4" s="3">
        <f t="shared" si="1"/>
        <v>4.6666666666666669E-2</v>
      </c>
      <c r="V4" s="3">
        <f t="shared" si="1"/>
        <v>0.05</v>
      </c>
      <c r="W4" s="3">
        <v>0</v>
      </c>
      <c r="X4" s="3">
        <f>W4+$C$3</f>
        <v>3.3333333333333335E-3</v>
      </c>
      <c r="Y4" s="3">
        <f t="shared" ref="Y4:AL4" si="2">X4+$C$3</f>
        <v>6.6666666666666671E-3</v>
      </c>
      <c r="Z4" s="3">
        <f t="shared" si="2"/>
        <v>0.01</v>
      </c>
      <c r="AA4" s="3">
        <f t="shared" si="2"/>
        <v>1.3333333333333334E-2</v>
      </c>
      <c r="AB4" s="3">
        <f t="shared" si="2"/>
        <v>1.6666666666666666E-2</v>
      </c>
      <c r="AC4" s="3">
        <f t="shared" si="2"/>
        <v>0.02</v>
      </c>
      <c r="AD4" s="3">
        <f t="shared" si="2"/>
        <v>2.3333333333333334E-2</v>
      </c>
      <c r="AE4" s="3">
        <f t="shared" si="2"/>
        <v>2.6666666666666668E-2</v>
      </c>
      <c r="AF4" s="3">
        <f t="shared" si="2"/>
        <v>3.0000000000000002E-2</v>
      </c>
      <c r="AG4" s="3">
        <f t="shared" si="2"/>
        <v>3.3333333333333333E-2</v>
      </c>
      <c r="AH4" s="3">
        <f t="shared" si="2"/>
        <v>3.6666666666666667E-2</v>
      </c>
      <c r="AI4" s="3">
        <f t="shared" si="2"/>
        <v>0.04</v>
      </c>
      <c r="AJ4" s="3">
        <f t="shared" si="2"/>
        <v>4.3333333333333335E-2</v>
      </c>
      <c r="AK4" s="3">
        <f t="shared" si="2"/>
        <v>4.6666666666666669E-2</v>
      </c>
      <c r="AL4" s="3">
        <f t="shared" si="2"/>
        <v>0.05</v>
      </c>
    </row>
    <row r="5" spans="1:38" x14ac:dyDescent="0.25">
      <c r="A5" s="13" t="s">
        <v>3</v>
      </c>
      <c r="B5" s="11">
        <v>1400</v>
      </c>
      <c r="C5" s="12">
        <v>1400</v>
      </c>
      <c r="F5" s="13" t="s">
        <v>7</v>
      </c>
      <c r="G5" s="21">
        <f>($B$3*G8)/$B$9+H5</f>
        <v>6.666666666666667</v>
      </c>
      <c r="H5" s="21">
        <v>0</v>
      </c>
      <c r="I5" s="21">
        <v>0</v>
      </c>
      <c r="J5" s="21">
        <v>0</v>
      </c>
      <c r="K5" s="21">
        <v>0</v>
      </c>
      <c r="L5" s="21">
        <v>0</v>
      </c>
      <c r="M5" s="21">
        <v>0</v>
      </c>
      <c r="N5" s="21">
        <v>0</v>
      </c>
      <c r="O5" s="21">
        <v>0</v>
      </c>
      <c r="P5" s="21">
        <v>0</v>
      </c>
      <c r="Q5" s="21">
        <v>0</v>
      </c>
      <c r="R5" s="21">
        <v>0</v>
      </c>
      <c r="S5" s="21">
        <v>0</v>
      </c>
      <c r="T5" s="21">
        <v>0</v>
      </c>
      <c r="U5" s="21">
        <v>0</v>
      </c>
      <c r="V5" s="21">
        <v>200</v>
      </c>
      <c r="W5" s="21">
        <v>200</v>
      </c>
      <c r="X5" s="21">
        <v>0</v>
      </c>
      <c r="Y5" s="21">
        <v>0</v>
      </c>
      <c r="Z5" s="21">
        <v>0</v>
      </c>
      <c r="AA5" s="21">
        <v>0</v>
      </c>
      <c r="AB5" s="21">
        <v>0</v>
      </c>
      <c r="AC5" s="21">
        <v>0</v>
      </c>
      <c r="AD5" s="21">
        <v>0</v>
      </c>
      <c r="AE5" s="21">
        <v>0</v>
      </c>
      <c r="AF5" s="21">
        <v>0</v>
      </c>
      <c r="AG5" s="21">
        <v>0</v>
      </c>
      <c r="AH5" s="21">
        <v>0</v>
      </c>
      <c r="AI5" s="21">
        <v>0</v>
      </c>
      <c r="AJ5" s="21">
        <v>0</v>
      </c>
      <c r="AK5" s="21">
        <v>0</v>
      </c>
      <c r="AL5" s="21">
        <v>100</v>
      </c>
    </row>
    <row r="6" spans="1:38" x14ac:dyDescent="0.25">
      <c r="A6" s="14"/>
      <c r="B6" s="14">
        <v>1400.1000000000001</v>
      </c>
      <c r="C6" s="14">
        <v>1400.1000000000001</v>
      </c>
      <c r="F6" s="14"/>
    </row>
    <row r="7" spans="1:38" x14ac:dyDescent="0.25">
      <c r="A7" s="13" t="s">
        <v>4</v>
      </c>
      <c r="B7" s="11">
        <v>460</v>
      </c>
      <c r="C7" s="12">
        <v>400</v>
      </c>
      <c r="F7" s="13" t="s">
        <v>10</v>
      </c>
      <c r="G7" s="2"/>
      <c r="H7" s="2">
        <f>H5+(($B$9*$B$4)/($B$8*$B$7))*((I5-2*H5+G5)/($B$3^2))</f>
        <v>3.333333333333333</v>
      </c>
      <c r="I7" s="2">
        <f>I5+(($B$9*$B$4)/($B$8*$B$7))*((J5-2*I5+H5)/($B$3^2))</f>
        <v>0</v>
      </c>
      <c r="J7" s="2">
        <f t="shared" ref="J7:T7" si="3">J5+(($B$9*$B$4)/($B$8*$B$7))*((K5-2*J5+I5)/($B$3^2))</f>
        <v>0</v>
      </c>
      <c r="K7" s="2">
        <f t="shared" si="3"/>
        <v>0</v>
      </c>
      <c r="L7" s="2">
        <f t="shared" si="3"/>
        <v>0</v>
      </c>
      <c r="M7" s="2">
        <f t="shared" si="3"/>
        <v>0</v>
      </c>
      <c r="N7" s="2">
        <f t="shared" si="3"/>
        <v>0</v>
      </c>
      <c r="O7" s="2">
        <f t="shared" si="3"/>
        <v>0</v>
      </c>
      <c r="P7" s="2">
        <f t="shared" si="3"/>
        <v>0</v>
      </c>
      <c r="Q7" s="2">
        <f t="shared" si="3"/>
        <v>0</v>
      </c>
      <c r="R7" s="2">
        <f t="shared" si="3"/>
        <v>0</v>
      </c>
      <c r="S7" s="2">
        <f t="shared" si="3"/>
        <v>0</v>
      </c>
      <c r="T7" s="2">
        <f t="shared" si="3"/>
        <v>0</v>
      </c>
      <c r="U7" s="2">
        <f>U5+(($B$9*$B$4)/($B$8*$B$7))*((V5-2*U5+T5)/($B$3^2))</f>
        <v>99.999999999999986</v>
      </c>
      <c r="V7" s="2">
        <v>200</v>
      </c>
      <c r="W7" s="2">
        <v>200</v>
      </c>
      <c r="X7" s="2">
        <f>X5+(($C$9*$C$4)/($C$8*$C$7))*((Y5-2*X5+W5)/($C$3^2))</f>
        <v>100</v>
      </c>
      <c r="Y7" s="2">
        <f t="shared" ref="Y7:AK7" si="4">Y5+(($C$9*$C$4)/($C$8*$C$7))*((Z5-2*Y5+X5)/($C$3^2))</f>
        <v>0</v>
      </c>
      <c r="Z7" s="2">
        <f t="shared" si="4"/>
        <v>0</v>
      </c>
      <c r="AA7" s="2">
        <f t="shared" si="4"/>
        <v>0</v>
      </c>
      <c r="AB7" s="2">
        <f t="shared" si="4"/>
        <v>0</v>
      </c>
      <c r="AC7" s="2">
        <f t="shared" si="4"/>
        <v>0</v>
      </c>
      <c r="AD7" s="2">
        <f t="shared" si="4"/>
        <v>0</v>
      </c>
      <c r="AE7" s="2">
        <f t="shared" si="4"/>
        <v>0</v>
      </c>
      <c r="AF7" s="2">
        <f t="shared" si="4"/>
        <v>0</v>
      </c>
      <c r="AG7" s="2">
        <f t="shared" si="4"/>
        <v>0</v>
      </c>
      <c r="AH7" s="2">
        <f t="shared" si="4"/>
        <v>0</v>
      </c>
      <c r="AI7" s="2">
        <f t="shared" si="4"/>
        <v>0</v>
      </c>
      <c r="AJ7" s="2">
        <f t="shared" si="4"/>
        <v>0</v>
      </c>
      <c r="AK7" s="2">
        <f t="shared" si="4"/>
        <v>50</v>
      </c>
      <c r="AL7" s="2">
        <v>100</v>
      </c>
    </row>
    <row r="8" spans="1:38" x14ac:dyDescent="0.25">
      <c r="A8" s="13" t="s">
        <v>5</v>
      </c>
      <c r="B8" s="11">
        <v>7800</v>
      </c>
      <c r="C8" s="12">
        <v>8900</v>
      </c>
      <c r="F8" s="13" t="s">
        <v>11</v>
      </c>
      <c r="G8" s="2">
        <f>B10</f>
        <v>92000</v>
      </c>
      <c r="H8" s="2">
        <f>-$B$9*((H5-G5)/$B$3)</f>
        <v>92000</v>
      </c>
      <c r="I8" s="2">
        <f t="shared" ref="I8:V8" si="5">-$B$9*((I5-H5)/$B$3)</f>
        <v>0</v>
      </c>
      <c r="J8" s="2">
        <f t="shared" si="5"/>
        <v>0</v>
      </c>
      <c r="K8" s="2">
        <f t="shared" si="5"/>
        <v>0</v>
      </c>
      <c r="L8" s="2">
        <f t="shared" si="5"/>
        <v>0</v>
      </c>
      <c r="M8" s="2">
        <f t="shared" si="5"/>
        <v>0</v>
      </c>
      <c r="N8" s="2">
        <f t="shared" si="5"/>
        <v>0</v>
      </c>
      <c r="O8" s="2">
        <f t="shared" si="5"/>
        <v>0</v>
      </c>
      <c r="P8" s="2">
        <f t="shared" si="5"/>
        <v>0</v>
      </c>
      <c r="Q8" s="2">
        <f t="shared" si="5"/>
        <v>0</v>
      </c>
      <c r="R8" s="2">
        <f t="shared" si="5"/>
        <v>0</v>
      </c>
      <c r="S8" s="2">
        <f t="shared" si="5"/>
        <v>0</v>
      </c>
      <c r="T8" s="2">
        <f t="shared" si="5"/>
        <v>0</v>
      </c>
      <c r="U8" s="2">
        <f t="shared" si="5"/>
        <v>0</v>
      </c>
      <c r="V8" s="2">
        <f t="shared" si="5"/>
        <v>-2759999.9999999995</v>
      </c>
      <c r="W8" s="2">
        <f>V8</f>
        <v>-2759999.9999999995</v>
      </c>
      <c r="X8" s="2">
        <f>-$C$9*((X5-W5)/$C$3)</f>
        <v>23339999.999999996</v>
      </c>
      <c r="Y8" s="2">
        <f t="shared" ref="Y8:AL8" si="6">-$C$9*((Y5-X5)/$C$3)</f>
        <v>0</v>
      </c>
      <c r="Z8" s="2">
        <f t="shared" si="6"/>
        <v>0</v>
      </c>
      <c r="AA8" s="2">
        <f t="shared" si="6"/>
        <v>0</v>
      </c>
      <c r="AB8" s="2">
        <f t="shared" si="6"/>
        <v>0</v>
      </c>
      <c r="AC8" s="2">
        <f t="shared" si="6"/>
        <v>0</v>
      </c>
      <c r="AD8" s="2">
        <f t="shared" si="6"/>
        <v>0</v>
      </c>
      <c r="AE8" s="2">
        <f t="shared" si="6"/>
        <v>0</v>
      </c>
      <c r="AF8" s="2">
        <f t="shared" si="6"/>
        <v>0</v>
      </c>
      <c r="AG8" s="2">
        <f t="shared" si="6"/>
        <v>0</v>
      </c>
      <c r="AH8" s="2">
        <f t="shared" si="6"/>
        <v>0</v>
      </c>
      <c r="AI8" s="2">
        <f t="shared" si="6"/>
        <v>0</v>
      </c>
      <c r="AJ8" s="2">
        <f t="shared" si="6"/>
        <v>0</v>
      </c>
      <c r="AK8" s="2">
        <f t="shared" si="6"/>
        <v>0</v>
      </c>
      <c r="AL8" s="2">
        <f t="shared" si="6"/>
        <v>-11669999.999999998</v>
      </c>
    </row>
    <row r="9" spans="1:38" x14ac:dyDescent="0.25">
      <c r="A9" s="13" t="s">
        <v>6</v>
      </c>
      <c r="B9" s="11">
        <v>46</v>
      </c>
      <c r="C9" s="12">
        <v>389</v>
      </c>
    </row>
    <row r="10" spans="1:38" x14ac:dyDescent="0.25">
      <c r="A10" s="13" t="s">
        <v>12</v>
      </c>
      <c r="B10" s="11">
        <v>92000</v>
      </c>
      <c r="C10" s="13"/>
    </row>
    <row r="11" spans="1:38" x14ac:dyDescent="0.25">
      <c r="A11" s="13" t="s">
        <v>9</v>
      </c>
      <c r="B11" s="11">
        <v>100</v>
      </c>
      <c r="C11" s="12" t="s">
        <v>8</v>
      </c>
    </row>
  </sheetData>
  <conditionalFormatting sqref="G5:AL5">
    <cfRule type="colorScale" priority="1">
      <colorScale>
        <cfvo type="min"/>
        <cfvo type="percentile" val="50"/>
        <cfvo type="max"/>
        <color rgb="FF1808E8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F">
                <anchor moveWithCells="1">
                  <from>
                    <xdr:col>0</xdr:col>
                    <xdr:colOff>600075</xdr:colOff>
                    <xdr:row>11</xdr:row>
                    <xdr:rowOff>180975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Макрос0">
                <anchor moveWithCells="1">
                  <from>
                    <xdr:col>2</xdr:col>
                    <xdr:colOff>9525</xdr:colOff>
                    <xdr:row>16</xdr:row>
                    <xdr:rowOff>0</xdr:rowOff>
                  </from>
                  <to>
                    <xdr:col>2</xdr:col>
                    <xdr:colOff>600075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2021-03-28T13:05:07Z</dcterms:created>
  <dcterms:modified xsi:type="dcterms:W3CDTF">2021-05-12T15:52:21Z</dcterms:modified>
</cp:coreProperties>
</file>