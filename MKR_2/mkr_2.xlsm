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Анна\Desktop\"/>
    </mc:Choice>
  </mc:AlternateContent>
  <xr:revisionPtr revIDLastSave="0" documentId="13_ncr:1_{5EE86AA8-5505-4433-B650-607E15AA8F5D}" xr6:coauthVersionLast="45" xr6:coauthVersionMax="45" xr10:uidLastSave="{00000000-0000-0000-0000-000000000000}"/>
  <bookViews>
    <workbookView xWindow="-108" yWindow="-108" windowWidth="23256" windowHeight="12576" activeTab="1" xr2:uid="{54272C8E-F79C-4F0C-8A06-8800DC048999}"/>
  </bookViews>
  <sheets>
    <sheet name="явная схема" sheetId="1" r:id="rId1"/>
    <sheet name="неявная схема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AJ4" i="1" l="1"/>
  <c r="B4" i="2" l="1"/>
  <c r="G13" i="2" s="1"/>
  <c r="F12" i="2"/>
  <c r="B16" i="2"/>
  <c r="AJ5" i="2"/>
  <c r="V13" i="2" l="1"/>
  <c r="M13" i="2"/>
  <c r="F13" i="2"/>
  <c r="T13" i="2"/>
  <c r="B15" i="2"/>
  <c r="AB13" i="2"/>
  <c r="L13" i="2"/>
  <c r="AI13" i="2"/>
  <c r="AA13" i="2"/>
  <c r="S13" i="2"/>
  <c r="K13" i="2"/>
  <c r="AD13" i="2"/>
  <c r="AC13" i="2"/>
  <c r="AH13" i="2"/>
  <c r="AG13" i="2"/>
  <c r="Y13" i="2"/>
  <c r="Q13" i="2"/>
  <c r="I13" i="2"/>
  <c r="N13" i="2"/>
  <c r="U13" i="2"/>
  <c r="R13" i="2"/>
  <c r="J13" i="2"/>
  <c r="AF13" i="2"/>
  <c r="X13" i="2"/>
  <c r="P13" i="2"/>
  <c r="H13" i="2"/>
  <c r="Z13" i="2"/>
  <c r="AE13" i="2"/>
  <c r="W13" i="2"/>
  <c r="O13" i="2"/>
  <c r="AJ4" i="2"/>
  <c r="B14" i="2"/>
  <c r="G11" i="2" l="1"/>
  <c r="G12" i="2"/>
  <c r="F5" i="2"/>
  <c r="B3" i="2"/>
  <c r="F5" i="1"/>
  <c r="B3" i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H12" i="2" l="1"/>
  <c r="G7" i="2"/>
  <c r="H11" i="2"/>
  <c r="G4" i="2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I11" i="2" l="1"/>
  <c r="H7" i="2"/>
  <c r="I12" i="2"/>
  <c r="AI7" i="1"/>
  <c r="AA7" i="1"/>
  <c r="S7" i="1"/>
  <c r="K7" i="1"/>
  <c r="AH7" i="1"/>
  <c r="Z7" i="1"/>
  <c r="R7" i="1"/>
  <c r="J7" i="1"/>
  <c r="L7" i="1"/>
  <c r="AG7" i="1"/>
  <c r="Y7" i="1"/>
  <c r="Q7" i="1"/>
  <c r="I7" i="1"/>
  <c r="AF7" i="1"/>
  <c r="X7" i="1"/>
  <c r="P7" i="1"/>
  <c r="H7" i="1"/>
  <c r="AE7" i="1"/>
  <c r="W7" i="1"/>
  <c r="O7" i="1"/>
  <c r="G7" i="1"/>
  <c r="AD7" i="1"/>
  <c r="V7" i="1"/>
  <c r="N7" i="1"/>
  <c r="AC7" i="1"/>
  <c r="U7" i="1"/>
  <c r="M7" i="1"/>
  <c r="AB7" i="1"/>
  <c r="T7" i="1"/>
  <c r="J12" i="2" l="1"/>
  <c r="J11" i="2"/>
  <c r="I7" i="2"/>
  <c r="K11" i="2" l="1"/>
  <c r="J7" i="2"/>
  <c r="K12" i="2"/>
  <c r="L12" i="2" l="1"/>
  <c r="L11" i="2"/>
  <c r="K7" i="2"/>
  <c r="M11" i="2" l="1"/>
  <c r="L7" i="2"/>
  <c r="M12" i="2"/>
  <c r="N12" i="2" l="1"/>
  <c r="N11" i="2"/>
  <c r="M7" i="2"/>
  <c r="O11" i="2" l="1"/>
  <c r="N7" i="2"/>
  <c r="O12" i="2"/>
  <c r="P12" i="2" l="1"/>
  <c r="P11" i="2"/>
  <c r="O7" i="2"/>
  <c r="Q11" i="2" l="1"/>
  <c r="P7" i="2"/>
  <c r="Q12" i="2"/>
  <c r="R12" i="2" l="1"/>
  <c r="R11" i="2"/>
  <c r="Q7" i="2"/>
  <c r="S11" i="2" l="1"/>
  <c r="R7" i="2"/>
  <c r="S12" i="2"/>
  <c r="T12" i="2" l="1"/>
  <c r="T11" i="2"/>
  <c r="S7" i="2"/>
  <c r="U11" i="2" l="1"/>
  <c r="T7" i="2"/>
  <c r="U12" i="2"/>
  <c r="V12" i="2" l="1"/>
  <c r="V11" i="2"/>
  <c r="U7" i="2"/>
  <c r="W11" i="2" l="1"/>
  <c r="V7" i="2"/>
  <c r="W12" i="2"/>
  <c r="X12" i="2" l="1"/>
  <c r="X11" i="2"/>
  <c r="W7" i="2"/>
  <c r="Y11" i="2" l="1"/>
  <c r="X7" i="2"/>
  <c r="Y12" i="2"/>
  <c r="Z12" i="2" l="1"/>
  <c r="Z11" i="2"/>
  <c r="Y7" i="2"/>
  <c r="AA11" i="2" l="1"/>
  <c r="Z7" i="2"/>
  <c r="AA12" i="2"/>
  <c r="AB12" i="2" l="1"/>
  <c r="AB11" i="2"/>
  <c r="AA7" i="2"/>
  <c r="AC11" i="2" l="1"/>
  <c r="AB7" i="2"/>
  <c r="AC12" i="2"/>
  <c r="AD12" i="2" l="1"/>
  <c r="AD11" i="2"/>
  <c r="AC7" i="2"/>
  <c r="AE11" i="2" l="1"/>
  <c r="AD7" i="2"/>
  <c r="AE12" i="2"/>
  <c r="AF12" i="2" l="1"/>
  <c r="AF11" i="2"/>
  <c r="AE7" i="2"/>
  <c r="AG11" i="2" l="1"/>
  <c r="AF7" i="2"/>
  <c r="AG12" i="2"/>
  <c r="AH12" i="2" l="1"/>
  <c r="AH11" i="2"/>
  <c r="AG7" i="2"/>
  <c r="AI11" i="2" l="1"/>
  <c r="AH7" i="2"/>
  <c r="AI12" i="2"/>
  <c r="AI7" i="2" l="1"/>
</calcChain>
</file>

<file path=xl/sharedStrings.xml><?xml version="1.0" encoding="utf-8"?>
<sst xmlns="http://schemas.openxmlformats.org/spreadsheetml/2006/main" count="31" uniqueCount="18">
  <si>
    <t>L</t>
  </si>
  <si>
    <t>dx</t>
  </si>
  <si>
    <t>dt</t>
  </si>
  <si>
    <t>t</t>
  </si>
  <si>
    <t>T</t>
  </si>
  <si>
    <t>Cp</t>
  </si>
  <si>
    <t>T_iter</t>
  </si>
  <si>
    <t>ro</t>
  </si>
  <si>
    <t>lamda</t>
  </si>
  <si>
    <t>T_start</t>
  </si>
  <si>
    <t>T_end</t>
  </si>
  <si>
    <t>q</t>
  </si>
  <si>
    <t>alfa</t>
  </si>
  <si>
    <t>betta</t>
  </si>
  <si>
    <t>F</t>
  </si>
  <si>
    <t>А</t>
  </si>
  <si>
    <t>В</t>
  </si>
  <si>
    <t>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</si>
</sst>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165" fontId="0" fillId="0" borderId="1" xfId="0" applyNumberFormat="1" applyBorder="1"/>
    <xf numFmtId="2" fontId="0" fillId="0" borderId="1" xfId="0" applyNumberFormat="1" applyBorder="1"/>
    <xf numFmtId="164" fontId="0" fillId="0" borderId="0" xfId="0" applyNumberFormat="1"/>
    <xf numFmtId="11" fontId="0" fillId="0" borderId="0" xfId="0" applyNumberFormat="1"/>
    <xf numFmtId="2" fontId="0" fillId="0" borderId="0" xfId="0" applyNumberForma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8D0ABC"/>
      <color rgb="FF1F9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12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схема'!$F$5:$AJ$5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280.34602914679891</c:v>
                </c:pt>
                <c:pt idx="2">
                  <c:v>260.69205829359794</c:v>
                </c:pt>
                <c:pt idx="3">
                  <c:v>241.69187227593471</c:v>
                </c:pt>
                <c:pt idx="4">
                  <c:v>222.69168625827186</c:v>
                </c:pt>
                <c:pt idx="5">
                  <c:v>204.95390631913122</c:v>
                </c:pt>
                <c:pt idx="6">
                  <c:v>187.2161263799911</c:v>
                </c:pt>
                <c:pt idx="7">
                  <c:v>171.26453784334242</c:v>
                </c:pt>
                <c:pt idx="8">
                  <c:v>155.31294930669429</c:v>
                </c:pt>
                <c:pt idx="9">
                  <c:v>141.55671337374571</c:v>
                </c:pt>
                <c:pt idx="10">
                  <c:v>127.80047744079768</c:v>
                </c:pt>
                <c:pt idx="11">
                  <c:v>116.51671674932958</c:v>
                </c:pt>
                <c:pt idx="12">
                  <c:v>105.23295605786197</c:v>
                </c:pt>
                <c:pt idx="13">
                  <c:v>96.561989352754821</c:v>
                </c:pt>
                <c:pt idx="14">
                  <c:v>87.891022647648128</c:v>
                </c:pt>
                <c:pt idx="15">
                  <c:v>81.842538774051619</c:v>
                </c:pt>
                <c:pt idx="16">
                  <c:v>75.794054900455549</c:v>
                </c:pt>
                <c:pt idx="17">
                  <c:v>72.261187114604041</c:v>
                </c:pt>
                <c:pt idx="18">
                  <c:v>68.728319328752917</c:v>
                </c:pt>
                <c:pt idx="19">
                  <c:v>67.506108522454866</c:v>
                </c:pt>
                <c:pt idx="20">
                  <c:v>66.283897716157142</c:v>
                </c:pt>
                <c:pt idx="21">
                  <c:v>67.088962026000218</c:v>
                </c:pt>
                <c:pt idx="22">
                  <c:v>67.894026335843549</c:v>
                </c:pt>
                <c:pt idx="23">
                  <c:v>70.38312720008598</c:v>
                </c:pt>
                <c:pt idx="24">
                  <c:v>72.872228064328638</c:v>
                </c:pt>
                <c:pt idx="25">
                  <c:v>76.658491877071654</c:v>
                </c:pt>
                <c:pt idx="26">
                  <c:v>80.444755689814855</c:v>
                </c:pt>
                <c:pt idx="27">
                  <c:v>85.111263870845903</c:v>
                </c:pt>
                <c:pt idx="28">
                  <c:v>89.777772051877108</c:v>
                </c:pt>
                <c:pt idx="29">
                  <c:v>94.888886025938518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C8-4156-BA3C-015D02657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587392"/>
        <c:axId val="1987359840"/>
      </c:scatterChart>
      <c:valAx>
        <c:axId val="19875873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359840"/>
        <c:crosses val="autoZero"/>
        <c:crossBetween val="midCat"/>
      </c:valAx>
      <c:valAx>
        <c:axId val="198735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5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412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схема'!$F$4:$AJ$4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279.45626239042656</c:v>
                </c:pt>
                <c:pt idx="2">
                  <c:v>259.36525242343839</c:v>
                </c:pt>
                <c:pt idx="3">
                  <c:v>239.82362871718377</c:v>
                </c:pt>
                <c:pt idx="4">
                  <c:v>220.9485205603263</c:v>
                </c:pt>
                <c:pt idx="5">
                  <c:v>202.86015379652417</c:v>
                </c:pt>
                <c:pt idx="6">
                  <c:v>185.67156665888143</c:v>
                </c:pt>
                <c:pt idx="7">
                  <c:v>169.4836530172249</c:v>
                </c:pt>
                <c:pt idx="8">
                  <c:v>154.38305067224627</c:v>
                </c:pt>
                <c:pt idx="9">
                  <c:v>140.44135762348617</c:v>
                </c:pt>
                <c:pt idx="10">
                  <c:v>127.71496866279558</c:v>
                </c:pt>
                <c:pt idx="11">
                  <c:v>116.24523019751393</c:v>
                </c:pt>
                <c:pt idx="12">
                  <c:v>106.05877850509538</c:v>
                </c:pt>
                <c:pt idx="13">
                  <c:v>97.167992175931943</c:v>
                </c:pt>
                <c:pt idx="14">
                  <c:v>89.571517894265995</c:v>
                </c:pt>
                <c:pt idx="15">
                  <c:v>83.254844475271568</c:v>
                </c:pt>
                <c:pt idx="16">
                  <c:v>78.190911203708396</c:v>
                </c:pt>
                <c:pt idx="17">
                  <c:v>74.340745122855353</c:v>
                </c:pt>
                <c:pt idx="18">
                  <c:v>71.654128328436698</c:v>
                </c:pt>
                <c:pt idx="19">
                  <c:v>70.070300481231669</c:v>
                </c:pt>
                <c:pt idx="20">
                  <c:v>69.518703685167409</c:v>
                </c:pt>
                <c:pt idx="21">
                  <c:v>69.919776786884455</c:v>
                </c:pt>
                <c:pt idx="22">
                  <c:v>71.185804411398976</c:v>
                </c:pt>
                <c:pt idx="23">
                  <c:v>73.221823148682802</c:v>
                </c:pt>
                <c:pt idx="24">
                  <c:v>75.926583792127275</c:v>
                </c:pt>
                <c:pt idx="25">
                  <c:v>79.193564932683429</c:v>
                </c:pt>
                <c:pt idx="26">
                  <c:v>82.912029992277667</c:v>
                </c:pt>
                <c:pt idx="27">
                  <c:v>86.968117284545571</c:v>
                </c:pt>
                <c:pt idx="28">
                  <c:v>91.245951130347166</c:v>
                </c:pt>
                <c:pt idx="29">
                  <c:v>95.628761496362017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5D-4E93-B16A-FE51F7852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587392"/>
        <c:axId val="1987359840"/>
      </c:scatterChart>
      <c:valAx>
        <c:axId val="19875873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359840"/>
        <c:crosses val="autoZero"/>
        <c:crossBetween val="midCat"/>
      </c:valAx>
      <c:valAx>
        <c:axId val="1987359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5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spPr>
            <a:ln w="41275">
              <a:solidFill>
                <a:srgbClr val="8D0ABC"/>
              </a:solidFill>
              <a:prstDash val="sysDot"/>
            </a:ln>
          </c:spPr>
          <c:marker>
            <c:symbol val="none"/>
          </c:marker>
          <c:xVal>
            <c:numRef>
              <c:f>'явная схема'!$F$4:$AJ$4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схема'!$F$5:$AJ$5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280.34602914679891</c:v>
                </c:pt>
                <c:pt idx="2">
                  <c:v>260.69205829359794</c:v>
                </c:pt>
                <c:pt idx="3">
                  <c:v>241.69187227593471</c:v>
                </c:pt>
                <c:pt idx="4">
                  <c:v>222.69168625827186</c:v>
                </c:pt>
                <c:pt idx="5">
                  <c:v>204.95390631913122</c:v>
                </c:pt>
                <c:pt idx="6">
                  <c:v>187.2161263799911</c:v>
                </c:pt>
                <c:pt idx="7">
                  <c:v>171.26453784334242</c:v>
                </c:pt>
                <c:pt idx="8">
                  <c:v>155.31294930669429</c:v>
                </c:pt>
                <c:pt idx="9">
                  <c:v>141.55671337374571</c:v>
                </c:pt>
                <c:pt idx="10">
                  <c:v>127.80047744079768</c:v>
                </c:pt>
                <c:pt idx="11">
                  <c:v>116.51671674932958</c:v>
                </c:pt>
                <c:pt idx="12">
                  <c:v>105.23295605786197</c:v>
                </c:pt>
                <c:pt idx="13">
                  <c:v>96.561989352754821</c:v>
                </c:pt>
                <c:pt idx="14">
                  <c:v>87.891022647648128</c:v>
                </c:pt>
                <c:pt idx="15">
                  <c:v>81.842538774051619</c:v>
                </c:pt>
                <c:pt idx="16">
                  <c:v>75.794054900455549</c:v>
                </c:pt>
                <c:pt idx="17">
                  <c:v>72.261187114604041</c:v>
                </c:pt>
                <c:pt idx="18">
                  <c:v>68.728319328752917</c:v>
                </c:pt>
                <c:pt idx="19">
                  <c:v>67.506108522454866</c:v>
                </c:pt>
                <c:pt idx="20">
                  <c:v>66.283897716157142</c:v>
                </c:pt>
                <c:pt idx="21">
                  <c:v>67.088962026000218</c:v>
                </c:pt>
                <c:pt idx="22">
                  <c:v>67.894026335843549</c:v>
                </c:pt>
                <c:pt idx="23">
                  <c:v>70.38312720008598</c:v>
                </c:pt>
                <c:pt idx="24">
                  <c:v>72.872228064328638</c:v>
                </c:pt>
                <c:pt idx="25">
                  <c:v>76.658491877071654</c:v>
                </c:pt>
                <c:pt idx="26">
                  <c:v>80.444755689814855</c:v>
                </c:pt>
                <c:pt idx="27">
                  <c:v>85.111263870845903</c:v>
                </c:pt>
                <c:pt idx="28">
                  <c:v>89.777772051877108</c:v>
                </c:pt>
                <c:pt idx="29">
                  <c:v>94.888886025938518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1B-4AB1-89B0-16DA79F54268}"/>
            </c:ext>
          </c:extLst>
        </c:ser>
        <c:ser>
          <c:idx val="0"/>
          <c:order val="1"/>
          <c:spPr>
            <a:ln w="41275" cap="rnd" cmpd="dbl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'неявная схема'!$F$4:$AJ$4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279.45626239042656</c:v>
                </c:pt>
                <c:pt idx="2">
                  <c:v>259.36525242343839</c:v>
                </c:pt>
                <c:pt idx="3">
                  <c:v>239.82362871718377</c:v>
                </c:pt>
                <c:pt idx="4">
                  <c:v>220.9485205603263</c:v>
                </c:pt>
                <c:pt idx="5">
                  <c:v>202.86015379652417</c:v>
                </c:pt>
                <c:pt idx="6">
                  <c:v>185.67156665888143</c:v>
                </c:pt>
                <c:pt idx="7">
                  <c:v>169.4836530172249</c:v>
                </c:pt>
                <c:pt idx="8">
                  <c:v>154.38305067224627</c:v>
                </c:pt>
                <c:pt idx="9">
                  <c:v>140.44135762348617</c:v>
                </c:pt>
                <c:pt idx="10">
                  <c:v>127.71496866279558</c:v>
                </c:pt>
                <c:pt idx="11">
                  <c:v>116.24523019751393</c:v>
                </c:pt>
                <c:pt idx="12">
                  <c:v>106.05877850509538</c:v>
                </c:pt>
                <c:pt idx="13">
                  <c:v>97.167992175931943</c:v>
                </c:pt>
                <c:pt idx="14">
                  <c:v>89.571517894265995</c:v>
                </c:pt>
                <c:pt idx="15">
                  <c:v>83.254844475271568</c:v>
                </c:pt>
                <c:pt idx="16">
                  <c:v>78.190911203708396</c:v>
                </c:pt>
                <c:pt idx="17">
                  <c:v>74.340745122855353</c:v>
                </c:pt>
                <c:pt idx="18">
                  <c:v>71.654128328436698</c:v>
                </c:pt>
                <c:pt idx="19">
                  <c:v>70.070300481231669</c:v>
                </c:pt>
                <c:pt idx="20">
                  <c:v>69.518703685167409</c:v>
                </c:pt>
                <c:pt idx="21">
                  <c:v>69.919776786884455</c:v>
                </c:pt>
                <c:pt idx="22">
                  <c:v>71.185804411398976</c:v>
                </c:pt>
                <c:pt idx="23">
                  <c:v>73.221823148682802</c:v>
                </c:pt>
                <c:pt idx="24">
                  <c:v>75.926583792127275</c:v>
                </c:pt>
                <c:pt idx="25">
                  <c:v>79.193564932683429</c:v>
                </c:pt>
                <c:pt idx="26">
                  <c:v>82.912029992277667</c:v>
                </c:pt>
                <c:pt idx="27">
                  <c:v>86.968117284545571</c:v>
                </c:pt>
                <c:pt idx="28">
                  <c:v>91.245951130347166</c:v>
                </c:pt>
                <c:pt idx="29">
                  <c:v>95.628761496362017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1B-4AB1-89B0-16DA79F54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587392"/>
        <c:axId val="1987359840"/>
      </c:scatterChart>
      <c:valAx>
        <c:axId val="19875873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359840"/>
        <c:crosses val="autoZero"/>
        <c:crossBetween val="midCat"/>
      </c:valAx>
      <c:valAx>
        <c:axId val="1987359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7587392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582152</xdr:colOff>
      <xdr:row>10</xdr:row>
      <xdr:rowOff>21754</xdr:rowOff>
    </xdr:from>
    <xdr:to>
      <xdr:col>23</xdr:col>
      <xdr:colOff>549726</xdr:colOff>
      <xdr:row>35</xdr:row>
      <xdr:rowOff>119522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4FA536B-12D2-4C1F-8B5F-389A8A29E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6158</xdr:colOff>
      <xdr:row>10</xdr:row>
      <xdr:rowOff>54755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D91B0D4-B7DC-4D63-BE51-4AF9CF92AFB8}"/>
                </a:ext>
              </a:extLst>
            </xdr:cNvPr>
            <xdr:cNvSpPr txBox="1"/>
          </xdr:nvSpPr>
          <xdr:spPr>
            <a:xfrm>
              <a:off x="10597958" y="188355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D91B0D4-B7DC-4D63-BE51-4AF9CF92AFB8}"/>
                </a:ext>
              </a:extLst>
            </xdr:cNvPr>
            <xdr:cNvSpPr txBox="1"/>
          </xdr:nvSpPr>
          <xdr:spPr>
            <a:xfrm>
              <a:off x="10597958" y="188355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23</xdr:col>
      <xdr:colOff>108958</xdr:colOff>
      <xdr:row>34</xdr:row>
      <xdr:rowOff>17041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6DEEB36-0849-4EC5-84D4-CBD1AEB712CC}"/>
                </a:ext>
              </a:extLst>
            </xdr:cNvPr>
            <xdr:cNvSpPr txBox="1"/>
          </xdr:nvSpPr>
          <xdr:spPr>
            <a:xfrm>
              <a:off x="14358358" y="6234961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6DEEB36-0849-4EC5-84D4-CBD1AEB712CC}"/>
                </a:ext>
              </a:extLst>
            </xdr:cNvPr>
            <xdr:cNvSpPr txBox="1"/>
          </xdr:nvSpPr>
          <xdr:spPr>
            <a:xfrm>
              <a:off x="14358358" y="6234961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15240</xdr:rowOff>
        </xdr:from>
        <xdr:to>
          <xdr:col>9</xdr:col>
          <xdr:colOff>586740</xdr:colOff>
          <xdr:row>14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4AB860-AAF3-43B9-A261-8C4CF2889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3032</xdr:colOff>
      <xdr:row>20</xdr:row>
      <xdr:rowOff>174154</xdr:rowOff>
    </xdr:from>
    <xdr:to>
      <xdr:col>13</xdr:col>
      <xdr:colOff>580206</xdr:colOff>
      <xdr:row>46</xdr:row>
      <xdr:rowOff>89042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9614E9F-4BC4-4823-B771-A59B46E5B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36638</xdr:colOff>
      <xdr:row>20</xdr:row>
      <xdr:rowOff>176675</xdr:rowOff>
    </xdr:from>
    <xdr:ext cx="380553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FB81A29-A403-4E10-8A40-50F72780A73B}"/>
                </a:ext>
              </a:extLst>
            </xdr:cNvPr>
            <xdr:cNvSpPr txBox="1"/>
          </xdr:nvSpPr>
          <xdr:spPr>
            <a:xfrm>
              <a:off x="4303838" y="383427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FB81A29-A403-4E10-8A40-50F72780A73B}"/>
                </a:ext>
              </a:extLst>
            </xdr:cNvPr>
            <xdr:cNvSpPr txBox="1"/>
          </xdr:nvSpPr>
          <xdr:spPr>
            <a:xfrm>
              <a:off x="4303838" y="383427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13</xdr:col>
      <xdr:colOff>108958</xdr:colOff>
      <xdr:row>44</xdr:row>
      <xdr:rowOff>169441</xdr:rowOff>
    </xdr:from>
    <xdr:ext cx="41152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E768752-A14C-4854-97FA-0349954FE18D}"/>
                </a:ext>
              </a:extLst>
            </xdr:cNvPr>
            <xdr:cNvSpPr txBox="1"/>
          </xdr:nvSpPr>
          <xdr:spPr>
            <a:xfrm>
              <a:off x="8033758" y="8216161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E768752-A14C-4854-97FA-0349954FE18D}"/>
                </a:ext>
              </a:extLst>
            </xdr:cNvPr>
            <xdr:cNvSpPr txBox="1"/>
          </xdr:nvSpPr>
          <xdr:spPr>
            <a:xfrm>
              <a:off x="8033758" y="8216161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91440</xdr:colOff>
          <xdr:row>15</xdr:row>
          <xdr:rowOff>30480</xdr:rowOff>
        </xdr:from>
        <xdr:to>
          <xdr:col>23</xdr:col>
          <xdr:colOff>106680</xdr:colOff>
          <xdr:row>19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D38DD14-6302-4241-A5E0-1460C9B91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582152</xdr:colOff>
      <xdr:row>21</xdr:row>
      <xdr:rowOff>21754</xdr:rowOff>
    </xdr:from>
    <xdr:to>
      <xdr:col>24</xdr:col>
      <xdr:colOff>60960</xdr:colOff>
      <xdr:row>46</xdr:row>
      <xdr:rowOff>119522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F671550-257B-4216-A6BE-0083A8A34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6158</xdr:colOff>
      <xdr:row>21</xdr:row>
      <xdr:rowOff>54755</xdr:rowOff>
    </xdr:from>
    <xdr:ext cx="380553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21483E3-8620-4750-9723-15D455AF2E7B}"/>
                </a:ext>
              </a:extLst>
            </xdr:cNvPr>
            <xdr:cNvSpPr txBox="1"/>
          </xdr:nvSpPr>
          <xdr:spPr>
            <a:xfrm>
              <a:off x="10369358" y="188355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21483E3-8620-4750-9723-15D455AF2E7B}"/>
                </a:ext>
              </a:extLst>
            </xdr:cNvPr>
            <xdr:cNvSpPr txBox="1"/>
          </xdr:nvSpPr>
          <xdr:spPr>
            <a:xfrm>
              <a:off x="10369358" y="1883555"/>
              <a:ext cx="380553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23</xdr:col>
      <xdr:colOff>169918</xdr:colOff>
      <xdr:row>45</xdr:row>
      <xdr:rowOff>17041</xdr:rowOff>
    </xdr:from>
    <xdr:ext cx="411523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8B786D8D-7AA7-473F-843D-5CF03954071D}"/>
                </a:ext>
              </a:extLst>
            </xdr:cNvPr>
            <xdr:cNvSpPr txBox="1"/>
          </xdr:nvSpPr>
          <xdr:spPr>
            <a:xfrm>
              <a:off x="15684238" y="8246641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600"/>
            </a:p>
          </xdr:txBody>
        </xdr:sp>
      </mc:Choice>
      <mc:Fallback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8B786D8D-7AA7-473F-843D-5CF03954071D}"/>
                </a:ext>
              </a:extLst>
            </xdr:cNvPr>
            <xdr:cNvSpPr txBox="1"/>
          </xdr:nvSpPr>
          <xdr:spPr>
            <a:xfrm>
              <a:off x="15684238" y="8246641"/>
              <a:ext cx="41152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𝐿, 𝑚</a:t>
              </a:r>
              <a:endParaRPr lang="ru-RU" sz="16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rk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4">
          <cell r="F4">
            <v>0</v>
          </cell>
          <cell r="G4">
            <v>3.3333333333333335E-3</v>
          </cell>
          <cell r="H4">
            <v>6.6666666666666671E-3</v>
          </cell>
          <cell r="I4">
            <v>0.01</v>
          </cell>
          <cell r="J4">
            <v>1.3333333333333334E-2</v>
          </cell>
          <cell r="K4">
            <v>1.6666666666666666E-2</v>
          </cell>
          <cell r="L4">
            <v>0.02</v>
          </cell>
          <cell r="M4">
            <v>2.3333333333333334E-2</v>
          </cell>
          <cell r="N4">
            <v>2.6666666666666668E-2</v>
          </cell>
          <cell r="O4">
            <v>3.0000000000000002E-2</v>
          </cell>
          <cell r="P4">
            <v>3.3333333333333333E-2</v>
          </cell>
          <cell r="Q4">
            <v>3.6666666666666667E-2</v>
          </cell>
          <cell r="R4">
            <v>0.04</v>
          </cell>
          <cell r="S4">
            <v>4.3333333333333335E-2</v>
          </cell>
          <cell r="T4">
            <v>4.6666666666666669E-2</v>
          </cell>
          <cell r="U4">
            <v>0.05</v>
          </cell>
          <cell r="V4">
            <v>5.3333333333333337E-2</v>
          </cell>
          <cell r="W4">
            <v>5.6666666666666671E-2</v>
          </cell>
          <cell r="X4">
            <v>6.0000000000000005E-2</v>
          </cell>
          <cell r="Y4">
            <v>6.3333333333333339E-2</v>
          </cell>
          <cell r="Z4">
            <v>6.6666666666666666E-2</v>
          </cell>
          <cell r="AA4">
            <v>6.9999999999999993E-2</v>
          </cell>
          <cell r="AB4">
            <v>7.333333333333332E-2</v>
          </cell>
          <cell r="AC4">
            <v>7.6666666666666647E-2</v>
          </cell>
          <cell r="AD4">
            <v>7.9999999999999974E-2</v>
          </cell>
          <cell r="AE4">
            <v>8.3333333333333301E-2</v>
          </cell>
          <cell r="AF4">
            <v>8.6666666666666628E-2</v>
          </cell>
          <cell r="AG4">
            <v>8.9999999999999955E-2</v>
          </cell>
          <cell r="AH4">
            <v>9.3333333333333282E-2</v>
          </cell>
          <cell r="AI4">
            <v>9.6666666666666609E-2</v>
          </cell>
          <cell r="AJ4">
            <v>9.9999999999999936E-2</v>
          </cell>
        </row>
        <row r="5">
          <cell r="F5">
            <v>300</v>
          </cell>
          <cell r="G5">
            <v>291.2251941303399</v>
          </cell>
          <cell r="H5">
            <v>282.49648793052552</v>
          </cell>
          <cell r="I5">
            <v>273.76778173071159</v>
          </cell>
          <cell r="J5">
            <v>265.17535427020249</v>
          </cell>
          <cell r="K5">
            <v>256.58292680969413</v>
          </cell>
          <cell r="L5">
            <v>248.21098559265405</v>
          </cell>
          <cell r="M5">
            <v>239.83904437561512</v>
          </cell>
          <cell r="N5">
            <v>231.76213771734334</v>
          </cell>
          <cell r="O5">
            <v>223.68523105907312</v>
          </cell>
          <cell r="P5">
            <v>215.96498657194687</v>
          </cell>
          <cell r="Q5">
            <v>208.24474208482246</v>
          </cell>
          <cell r="R5">
            <v>200.92717440456465</v>
          </cell>
          <cell r="S5">
            <v>193.60960672430886</v>
          </cell>
          <cell r="T5">
            <v>186.72311194320079</v>
          </cell>
          <cell r="U5">
            <v>179.83661716209483</v>
          </cell>
          <cell r="V5">
            <v>173.39074067207176</v>
          </cell>
          <cell r="W5">
            <v>166.94486418205076</v>
          </cell>
          <cell r="X5">
            <v>160.92989424188235</v>
          </cell>
          <cell r="Y5">
            <v>154.91492430171593</v>
          </cell>
          <cell r="Z5">
            <v>149.30232723313014</v>
          </cell>
          <cell r="AA5">
            <v>143.68973016454618</v>
          </cell>
          <cell r="AB5">
            <v>138.43340629900146</v>
          </cell>
          <cell r="AC5">
            <v>133.17708243345834</v>
          </cell>
          <cell r="AD5">
            <v>128.21538638187789</v>
          </cell>
          <cell r="AE5">
            <v>123.25369033029872</v>
          </cell>
          <cell r="AF5">
            <v>118.51212633055538</v>
          </cell>
          <cell r="AG5">
            <v>113.77056233081289</v>
          </cell>
          <cell r="AH5">
            <v>109.16503667486595</v>
          </cell>
          <cell r="AI5">
            <v>104.55951101891947</v>
          </cell>
          <cell r="AJ5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8DBF-9AE8-454D-9A4E-E471C2560100}">
  <sheetPr codeName="Лист1"/>
  <dimension ref="A1:AJ12"/>
  <sheetViews>
    <sheetView zoomScale="61" workbookViewId="0">
      <selection activeCell="M32" sqref="M32"/>
    </sheetView>
  </sheetViews>
  <sheetFormatPr defaultRowHeight="14.4" x14ac:dyDescent="0.3"/>
  <sheetData>
    <row r="1" spans="1:36" x14ac:dyDescent="0.3">
      <c r="A1" s="1"/>
      <c r="B1" s="1"/>
    </row>
    <row r="2" spans="1:36" x14ac:dyDescent="0.3">
      <c r="A2" s="1" t="s">
        <v>0</v>
      </c>
      <c r="B2" s="1">
        <v>0.1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6" x14ac:dyDescent="0.3">
      <c r="A3" s="1" t="s">
        <v>1</v>
      </c>
      <c r="B3" s="3">
        <f>B2/30</f>
        <v>3.3333333333333335E-3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>
        <v>6</v>
      </c>
      <c r="L3" s="4">
        <v>7</v>
      </c>
      <c r="M3" s="4">
        <v>8</v>
      </c>
      <c r="N3" s="4">
        <v>9</v>
      </c>
      <c r="O3" s="4">
        <v>10</v>
      </c>
      <c r="P3" s="4">
        <v>11</v>
      </c>
      <c r="Q3" s="4">
        <v>12</v>
      </c>
      <c r="R3" s="4">
        <v>13</v>
      </c>
      <c r="S3" s="4">
        <v>14</v>
      </c>
      <c r="T3" s="4">
        <v>15</v>
      </c>
      <c r="U3" s="4">
        <v>16</v>
      </c>
      <c r="V3" s="4">
        <v>17</v>
      </c>
      <c r="W3" s="4">
        <v>18</v>
      </c>
      <c r="X3" s="4">
        <v>19</v>
      </c>
      <c r="Y3" s="4">
        <v>20</v>
      </c>
      <c r="Z3" s="4">
        <v>21</v>
      </c>
      <c r="AA3" s="4">
        <v>22</v>
      </c>
      <c r="AB3" s="4">
        <v>23</v>
      </c>
      <c r="AC3" s="4">
        <v>24</v>
      </c>
      <c r="AD3" s="4">
        <v>25</v>
      </c>
      <c r="AE3" s="4">
        <v>26</v>
      </c>
      <c r="AF3" s="4">
        <v>27</v>
      </c>
      <c r="AG3" s="4">
        <v>28</v>
      </c>
      <c r="AH3" s="4">
        <v>29</v>
      </c>
      <c r="AI3" s="4">
        <v>30</v>
      </c>
      <c r="AJ3" s="4">
        <v>31</v>
      </c>
    </row>
    <row r="4" spans="1:36" x14ac:dyDescent="0.3">
      <c r="A4" s="1" t="s">
        <v>2</v>
      </c>
      <c r="B4" s="1">
        <f>(B3*B8*B7*B3)/(2*B9)</f>
        <v>0.43333333333333335</v>
      </c>
      <c r="E4" t="s">
        <v>0</v>
      </c>
      <c r="F4" s="4">
        <v>0</v>
      </c>
      <c r="G4" s="5">
        <f>F4+$B$3</f>
        <v>3.3333333333333335E-3</v>
      </c>
      <c r="H4" s="5">
        <f t="shared" ref="H4:AJ4" si="0">G4+$B$3</f>
        <v>6.6666666666666671E-3</v>
      </c>
      <c r="I4" s="5">
        <f t="shared" si="0"/>
        <v>0.01</v>
      </c>
      <c r="J4" s="5">
        <f t="shared" si="0"/>
        <v>1.3333333333333334E-2</v>
      </c>
      <c r="K4" s="5">
        <f t="shared" si="0"/>
        <v>1.6666666666666666E-2</v>
      </c>
      <c r="L4" s="5">
        <f t="shared" si="0"/>
        <v>0.02</v>
      </c>
      <c r="M4" s="5">
        <f t="shared" si="0"/>
        <v>2.3333333333333334E-2</v>
      </c>
      <c r="N4" s="5">
        <f t="shared" si="0"/>
        <v>2.6666666666666668E-2</v>
      </c>
      <c r="O4" s="5">
        <f t="shared" si="0"/>
        <v>3.0000000000000002E-2</v>
      </c>
      <c r="P4" s="5">
        <f t="shared" si="0"/>
        <v>3.3333333333333333E-2</v>
      </c>
      <c r="Q4" s="5">
        <f t="shared" si="0"/>
        <v>3.6666666666666667E-2</v>
      </c>
      <c r="R4" s="5">
        <f t="shared" si="0"/>
        <v>0.04</v>
      </c>
      <c r="S4" s="5">
        <f t="shared" si="0"/>
        <v>4.3333333333333335E-2</v>
      </c>
      <c r="T4" s="5">
        <f t="shared" si="0"/>
        <v>4.6666666666666669E-2</v>
      </c>
      <c r="U4" s="5">
        <f t="shared" si="0"/>
        <v>0.05</v>
      </c>
      <c r="V4" s="5">
        <f t="shared" si="0"/>
        <v>5.3333333333333337E-2</v>
      </c>
      <c r="W4" s="5">
        <f t="shared" si="0"/>
        <v>5.6666666666666671E-2</v>
      </c>
      <c r="X4" s="5">
        <f t="shared" si="0"/>
        <v>6.0000000000000005E-2</v>
      </c>
      <c r="Y4" s="5">
        <f t="shared" si="0"/>
        <v>6.3333333333333339E-2</v>
      </c>
      <c r="Z4" s="5">
        <f t="shared" si="0"/>
        <v>6.6666666666666666E-2</v>
      </c>
      <c r="AA4" s="5">
        <f t="shared" si="0"/>
        <v>6.9999999999999993E-2</v>
      </c>
      <c r="AB4" s="5">
        <f t="shared" si="0"/>
        <v>7.333333333333332E-2</v>
      </c>
      <c r="AC4" s="5">
        <f t="shared" si="0"/>
        <v>7.6666666666666647E-2</v>
      </c>
      <c r="AD4" s="5">
        <f t="shared" si="0"/>
        <v>7.9999999999999974E-2</v>
      </c>
      <c r="AE4" s="5">
        <f t="shared" si="0"/>
        <v>8.3333333333333301E-2</v>
      </c>
      <c r="AF4" s="5">
        <f t="shared" si="0"/>
        <v>8.6666666666666628E-2</v>
      </c>
      <c r="AG4" s="5">
        <f t="shared" si="0"/>
        <v>8.9999999999999955E-2</v>
      </c>
      <c r="AH4" s="5">
        <f t="shared" si="0"/>
        <v>9.3333333333333282E-2</v>
      </c>
      <c r="AI4" s="5">
        <f t="shared" si="0"/>
        <v>9.6666666666666609E-2</v>
      </c>
      <c r="AJ4" s="5">
        <f t="shared" si="0"/>
        <v>9.9999999999999936E-2</v>
      </c>
    </row>
    <row r="5" spans="1:36" x14ac:dyDescent="0.3">
      <c r="A5" s="1" t="s">
        <v>3</v>
      </c>
      <c r="B5" s="1">
        <v>60</v>
      </c>
      <c r="E5" t="s">
        <v>4</v>
      </c>
      <c r="F5" s="6">
        <f>B10</f>
        <v>300</v>
      </c>
      <c r="G5" s="7">
        <v>280.34602914679891</v>
      </c>
      <c r="H5" s="7">
        <v>260.69205829359794</v>
      </c>
      <c r="I5" s="7">
        <v>241.69187227593471</v>
      </c>
      <c r="J5" s="7">
        <v>222.69168625827186</v>
      </c>
      <c r="K5" s="7">
        <v>204.95390631913122</v>
      </c>
      <c r="L5" s="7">
        <v>187.2161263799911</v>
      </c>
      <c r="M5" s="7">
        <v>171.26453784334242</v>
      </c>
      <c r="N5" s="7">
        <v>155.31294930669429</v>
      </c>
      <c r="O5" s="7">
        <v>141.55671337374571</v>
      </c>
      <c r="P5" s="7">
        <v>127.80047744079768</v>
      </c>
      <c r="Q5" s="7">
        <v>116.51671674932958</v>
      </c>
      <c r="R5" s="7">
        <v>105.23295605786197</v>
      </c>
      <c r="S5" s="7">
        <v>96.561989352754821</v>
      </c>
      <c r="T5" s="7">
        <v>87.891022647648128</v>
      </c>
      <c r="U5" s="7">
        <v>81.842538774051619</v>
      </c>
      <c r="V5" s="7">
        <v>75.794054900455549</v>
      </c>
      <c r="W5" s="7">
        <v>72.261187114604041</v>
      </c>
      <c r="X5" s="7">
        <v>68.728319328752917</v>
      </c>
      <c r="Y5" s="7">
        <v>67.506108522454866</v>
      </c>
      <c r="Z5" s="7">
        <v>66.283897716157142</v>
      </c>
      <c r="AA5" s="7">
        <v>67.088962026000218</v>
      </c>
      <c r="AB5" s="7">
        <v>67.894026335843549</v>
      </c>
      <c r="AC5" s="7">
        <v>70.38312720008598</v>
      </c>
      <c r="AD5" s="7">
        <v>72.872228064328638</v>
      </c>
      <c r="AE5" s="7">
        <v>76.658491877071654</v>
      </c>
      <c r="AF5" s="7">
        <v>80.444755689814855</v>
      </c>
      <c r="AG5" s="7">
        <v>85.111263870845903</v>
      </c>
      <c r="AH5" s="7">
        <v>89.777772051877108</v>
      </c>
      <c r="AI5" s="7">
        <v>94.888886025938518</v>
      </c>
      <c r="AJ5" s="14">
        <v>100</v>
      </c>
    </row>
    <row r="7" spans="1:36" x14ac:dyDescent="0.3">
      <c r="A7" s="1" t="s">
        <v>5</v>
      </c>
      <c r="B7" s="1">
        <v>460</v>
      </c>
      <c r="E7" t="s">
        <v>6</v>
      </c>
      <c r="G7">
        <f>G5+(($B$9*$B$4)/($B$8*$B$7))*((H5-2*G5+F5)/($B$3^2))</f>
        <v>280.34602914679897</v>
      </c>
      <c r="H7">
        <f t="shared" ref="H7:AI7" si="1">H5+(($B$9*$B$4)/($B$8*$B$7))*((I5-2*H5+G5)/($B$3^2))</f>
        <v>261.01895071136681</v>
      </c>
      <c r="I7">
        <f t="shared" si="1"/>
        <v>241.69187227593488</v>
      </c>
      <c r="J7">
        <f t="shared" si="1"/>
        <v>223.32288929753295</v>
      </c>
      <c r="K7">
        <f t="shared" si="1"/>
        <v>204.95390631913148</v>
      </c>
      <c r="L7">
        <f t="shared" si="1"/>
        <v>188.10922208123682</v>
      </c>
      <c r="M7">
        <f t="shared" si="1"/>
        <v>171.26453784334268</v>
      </c>
      <c r="N7">
        <f t="shared" si="1"/>
        <v>156.41062560854405</v>
      </c>
      <c r="O7">
        <f t="shared" si="1"/>
        <v>141.55671337374599</v>
      </c>
      <c r="P7">
        <f t="shared" si="1"/>
        <v>129.03671506153762</v>
      </c>
      <c r="Q7">
        <f t="shared" si="1"/>
        <v>116.51671674932982</v>
      </c>
      <c r="R7">
        <f t="shared" si="1"/>
        <v>106.5393530510422</v>
      </c>
      <c r="S7">
        <f t="shared" si="1"/>
        <v>96.561989352755049</v>
      </c>
      <c r="T7">
        <f t="shared" si="1"/>
        <v>89.20226406340322</v>
      </c>
      <c r="U7">
        <f t="shared" si="1"/>
        <v>81.842538774051832</v>
      </c>
      <c r="V7">
        <f t="shared" si="1"/>
        <v>77.051862944327823</v>
      </c>
      <c r="W7">
        <f t="shared" si="1"/>
        <v>72.26118711460424</v>
      </c>
      <c r="X7">
        <f t="shared" si="1"/>
        <v>69.883647818529454</v>
      </c>
      <c r="Y7">
        <f t="shared" si="1"/>
        <v>67.506108522455037</v>
      </c>
      <c r="Z7">
        <f t="shared" si="1"/>
        <v>67.297535274227542</v>
      </c>
      <c r="AA7">
        <f t="shared" si="1"/>
        <v>67.088962026000345</v>
      </c>
      <c r="AB7">
        <f t="shared" si="1"/>
        <v>68.736044613043092</v>
      </c>
      <c r="AC7">
        <f t="shared" si="1"/>
        <v>70.383127200086093</v>
      </c>
      <c r="AD7">
        <f t="shared" si="1"/>
        <v>73.520809538578817</v>
      </c>
      <c r="AE7">
        <f t="shared" si="1"/>
        <v>76.658491877071754</v>
      </c>
      <c r="AF7">
        <f t="shared" si="1"/>
        <v>80.884877873958771</v>
      </c>
      <c r="AG7">
        <f t="shared" si="1"/>
        <v>85.111263870845988</v>
      </c>
      <c r="AH7">
        <f t="shared" si="1"/>
        <v>90.000074948392211</v>
      </c>
      <c r="AI7">
        <f t="shared" si="1"/>
        <v>94.888886025938547</v>
      </c>
    </row>
    <row r="8" spans="1:36" x14ac:dyDescent="0.3">
      <c r="A8" s="1" t="s">
        <v>7</v>
      </c>
      <c r="B8" s="1">
        <v>7800</v>
      </c>
    </row>
    <row r="9" spans="1:36" x14ac:dyDescent="0.3">
      <c r="A9" s="1" t="s">
        <v>8</v>
      </c>
      <c r="B9" s="1">
        <v>46</v>
      </c>
    </row>
    <row r="10" spans="1:36" x14ac:dyDescent="0.3">
      <c r="A10" s="1" t="s">
        <v>9</v>
      </c>
      <c r="B10" s="1">
        <v>300</v>
      </c>
    </row>
    <row r="11" spans="1:36" x14ac:dyDescent="0.3">
      <c r="A11" s="1" t="s">
        <v>10</v>
      </c>
      <c r="B11" s="1">
        <v>100</v>
      </c>
    </row>
    <row r="12" spans="1:36" x14ac:dyDescent="0.3">
      <c r="C12">
        <v>60.233333333333334</v>
      </c>
    </row>
  </sheetData>
  <conditionalFormatting sqref="F5:AJ5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Макрос1">
                <anchor moveWithCells="1" sizeWithCells="1">
                  <from>
                    <xdr:col>6</xdr:col>
                    <xdr:colOff>38100</xdr:colOff>
                    <xdr:row>11</xdr:row>
                    <xdr:rowOff>15240</xdr:rowOff>
                  </from>
                  <to>
                    <xdr:col>9</xdr:col>
                    <xdr:colOff>586740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DC4F-A8A6-4177-814E-594D7D05AC41}">
  <sheetPr codeName="Лист2"/>
  <dimension ref="A1:AJ16"/>
  <sheetViews>
    <sheetView tabSelected="1" zoomScale="50" zoomScaleNormal="50" workbookViewId="0">
      <selection activeCell="B4" sqref="B4"/>
    </sheetView>
  </sheetViews>
  <sheetFormatPr defaultRowHeight="14.4" x14ac:dyDescent="0.3"/>
  <cols>
    <col min="6" max="6" width="14.33203125" bestFit="1" customWidth="1"/>
    <col min="7" max="7" width="10.33203125" bestFit="1" customWidth="1"/>
    <col min="20" max="22" width="13.6640625" bestFit="1" customWidth="1"/>
  </cols>
  <sheetData>
    <row r="1" spans="1:36" x14ac:dyDescent="0.3">
      <c r="A1" s="1"/>
      <c r="B1" s="1"/>
    </row>
    <row r="2" spans="1:36" x14ac:dyDescent="0.3">
      <c r="A2" s="1" t="s">
        <v>0</v>
      </c>
      <c r="B2" s="1">
        <v>0.1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6" x14ac:dyDescent="0.3">
      <c r="A3" s="1" t="s">
        <v>1</v>
      </c>
      <c r="B3" s="10">
        <f>B2/30</f>
        <v>3.3333333333333335E-3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>
        <v>6</v>
      </c>
      <c r="L3" s="4">
        <v>7</v>
      </c>
      <c r="M3" s="4">
        <v>8</v>
      </c>
      <c r="N3" s="4">
        <v>9</v>
      </c>
      <c r="O3" s="4">
        <v>10</v>
      </c>
      <c r="P3" s="4">
        <v>11</v>
      </c>
      <c r="Q3" s="4">
        <v>12</v>
      </c>
      <c r="R3" s="4">
        <v>13</v>
      </c>
      <c r="S3" s="4">
        <v>14</v>
      </c>
      <c r="T3" s="4">
        <v>15</v>
      </c>
      <c r="U3" s="4">
        <v>16</v>
      </c>
      <c r="V3" s="4">
        <v>17</v>
      </c>
      <c r="W3" s="4">
        <v>18</v>
      </c>
      <c r="X3" s="4">
        <v>19</v>
      </c>
      <c r="Y3" s="4">
        <v>20</v>
      </c>
      <c r="Z3" s="4">
        <v>21</v>
      </c>
      <c r="AA3" s="4">
        <v>22</v>
      </c>
      <c r="AB3" s="4">
        <v>23</v>
      </c>
      <c r="AC3" s="4">
        <v>24</v>
      </c>
      <c r="AD3" s="4">
        <v>25</v>
      </c>
      <c r="AE3" s="4">
        <v>26</v>
      </c>
      <c r="AF3" s="4">
        <v>27</v>
      </c>
      <c r="AG3" s="4">
        <v>28</v>
      </c>
      <c r="AH3" s="4">
        <v>29</v>
      </c>
      <c r="AI3" s="4">
        <v>30</v>
      </c>
      <c r="AJ3" s="9">
        <v>31</v>
      </c>
    </row>
    <row r="4" spans="1:36" x14ac:dyDescent="0.3">
      <c r="A4" s="1" t="s">
        <v>2</v>
      </c>
      <c r="B4" s="11">
        <f>'явная схема'!B4</f>
        <v>0.43333333333333335</v>
      </c>
      <c r="E4" t="s">
        <v>0</v>
      </c>
      <c r="F4" s="8">
        <v>0</v>
      </c>
      <c r="G4" s="8">
        <f>F4+$B$3</f>
        <v>3.3333333333333335E-3</v>
      </c>
      <c r="H4" s="8">
        <f t="shared" ref="H4:AJ4" si="0">G4+$B$3</f>
        <v>6.6666666666666671E-3</v>
      </c>
      <c r="I4" s="8">
        <f t="shared" si="0"/>
        <v>0.01</v>
      </c>
      <c r="J4" s="8">
        <f t="shared" si="0"/>
        <v>1.3333333333333334E-2</v>
      </c>
      <c r="K4" s="8">
        <f t="shared" si="0"/>
        <v>1.6666666666666666E-2</v>
      </c>
      <c r="L4" s="8">
        <f t="shared" si="0"/>
        <v>0.02</v>
      </c>
      <c r="M4" s="8">
        <f t="shared" si="0"/>
        <v>2.3333333333333334E-2</v>
      </c>
      <c r="N4" s="8">
        <f t="shared" si="0"/>
        <v>2.6666666666666668E-2</v>
      </c>
      <c r="O4" s="8">
        <f t="shared" si="0"/>
        <v>3.0000000000000002E-2</v>
      </c>
      <c r="P4" s="8">
        <f t="shared" si="0"/>
        <v>3.3333333333333333E-2</v>
      </c>
      <c r="Q4" s="8">
        <f t="shared" si="0"/>
        <v>3.6666666666666667E-2</v>
      </c>
      <c r="R4" s="8">
        <f t="shared" si="0"/>
        <v>0.04</v>
      </c>
      <c r="S4" s="8">
        <f t="shared" si="0"/>
        <v>4.3333333333333335E-2</v>
      </c>
      <c r="T4" s="8">
        <f t="shared" si="0"/>
        <v>4.6666666666666669E-2</v>
      </c>
      <c r="U4" s="8">
        <f t="shared" si="0"/>
        <v>0.05</v>
      </c>
      <c r="V4" s="8">
        <f t="shared" si="0"/>
        <v>5.3333333333333337E-2</v>
      </c>
      <c r="W4" s="8">
        <f t="shared" si="0"/>
        <v>5.6666666666666671E-2</v>
      </c>
      <c r="X4" s="8">
        <f t="shared" si="0"/>
        <v>6.0000000000000005E-2</v>
      </c>
      <c r="Y4" s="8">
        <f t="shared" si="0"/>
        <v>6.3333333333333339E-2</v>
      </c>
      <c r="Z4" s="8">
        <f t="shared" si="0"/>
        <v>6.6666666666666666E-2</v>
      </c>
      <c r="AA4" s="8">
        <f t="shared" si="0"/>
        <v>6.9999999999999993E-2</v>
      </c>
      <c r="AB4" s="8">
        <f t="shared" si="0"/>
        <v>7.333333333333332E-2</v>
      </c>
      <c r="AC4" s="8">
        <f t="shared" si="0"/>
        <v>7.6666666666666647E-2</v>
      </c>
      <c r="AD4" s="8">
        <f t="shared" si="0"/>
        <v>7.9999999999999974E-2</v>
      </c>
      <c r="AE4" s="8">
        <f t="shared" si="0"/>
        <v>8.3333333333333301E-2</v>
      </c>
      <c r="AF4" s="8">
        <f t="shared" si="0"/>
        <v>8.6666666666666628E-2</v>
      </c>
      <c r="AG4" s="8">
        <f t="shared" si="0"/>
        <v>8.9999999999999955E-2</v>
      </c>
      <c r="AH4" s="8">
        <f t="shared" si="0"/>
        <v>9.3333333333333282E-2</v>
      </c>
      <c r="AI4" s="8">
        <f t="shared" si="0"/>
        <v>9.6666666666666609E-2</v>
      </c>
      <c r="AJ4" s="8">
        <f t="shared" si="0"/>
        <v>9.9999999999999936E-2</v>
      </c>
    </row>
    <row r="5" spans="1:36" x14ac:dyDescent="0.3">
      <c r="A5" s="1" t="s">
        <v>3</v>
      </c>
      <c r="B5" s="1">
        <v>60</v>
      </c>
      <c r="E5" t="s">
        <v>4</v>
      </c>
      <c r="F5" s="6">
        <f>B10</f>
        <v>300</v>
      </c>
      <c r="G5">
        <v>279.45626239042656</v>
      </c>
      <c r="H5">
        <v>259.36525242343839</v>
      </c>
      <c r="I5">
        <v>239.82362871718377</v>
      </c>
      <c r="J5">
        <v>220.9485205603263</v>
      </c>
      <c r="K5">
        <v>202.86015379652417</v>
      </c>
      <c r="L5">
        <v>185.67156665888143</v>
      </c>
      <c r="M5">
        <v>169.4836530172249</v>
      </c>
      <c r="N5">
        <v>154.38305067224627</v>
      </c>
      <c r="O5">
        <v>140.44135762348617</v>
      </c>
      <c r="P5">
        <v>127.71496866279558</v>
      </c>
      <c r="Q5">
        <v>116.24523019751393</v>
      </c>
      <c r="R5">
        <v>106.05877850509538</v>
      </c>
      <c r="S5">
        <v>97.167992175931943</v>
      </c>
      <c r="T5">
        <v>89.571517894265995</v>
      </c>
      <c r="U5">
        <v>83.254844475271568</v>
      </c>
      <c r="V5">
        <v>78.190911203708396</v>
      </c>
      <c r="W5">
        <v>74.340745122855353</v>
      </c>
      <c r="X5">
        <v>71.654128328436698</v>
      </c>
      <c r="Y5">
        <v>70.070300481231669</v>
      </c>
      <c r="Z5">
        <v>69.518703685167409</v>
      </c>
      <c r="AA5">
        <v>69.919776786884455</v>
      </c>
      <c r="AB5">
        <v>71.185804411398976</v>
      </c>
      <c r="AC5">
        <v>73.221823148682802</v>
      </c>
      <c r="AD5">
        <v>75.926583792127275</v>
      </c>
      <c r="AE5">
        <v>79.193564932683429</v>
      </c>
      <c r="AF5">
        <v>82.912029992277667</v>
      </c>
      <c r="AG5">
        <v>86.968117284545571</v>
      </c>
      <c r="AH5">
        <v>91.245951130347166</v>
      </c>
      <c r="AI5">
        <v>95.628761496362017</v>
      </c>
      <c r="AJ5">
        <f>B11</f>
        <v>100</v>
      </c>
    </row>
    <row r="7" spans="1:36" x14ac:dyDescent="0.3">
      <c r="A7" s="1" t="s">
        <v>5</v>
      </c>
      <c r="B7" s="1">
        <v>460</v>
      </c>
      <c r="E7" t="s">
        <v>6</v>
      </c>
      <c r="G7">
        <f t="shared" ref="G5:AH7" si="1">G11*H5+G12</f>
        <v>279.56944430107285</v>
      </c>
      <c r="H7">
        <f t="shared" si="1"/>
        <v>259.54193726913974</v>
      </c>
      <c r="I7">
        <f t="shared" si="1"/>
        <v>240.04948596587087</v>
      </c>
      <c r="J7">
        <f t="shared" si="1"/>
        <v>221.21983885667831</v>
      </c>
      <c r="K7">
        <f t="shared" si="1"/>
        <v>203.17394798345347</v>
      </c>
      <c r="L7">
        <f t="shared" si="1"/>
        <v>186.02377716821641</v>
      </c>
      <c r="M7">
        <f t="shared" si="1"/>
        <v>169.86937171911217</v>
      </c>
      <c r="N7">
        <f t="shared" si="1"/>
        <v>154.79693249667395</v>
      </c>
      <c r="O7">
        <f t="shared" si="1"/>
        <v>140.87789667303943</v>
      </c>
      <c r="P7">
        <f t="shared" si="1"/>
        <v>128.1686574339995</v>
      </c>
      <c r="Q7">
        <f t="shared" si="1"/>
        <v>116.71065139181918</v>
      </c>
      <c r="R7">
        <f t="shared" si="1"/>
        <v>106.53066022599496</v>
      </c>
      <c r="S7">
        <f t="shared" si="1"/>
        <v>97.641242369850801</v>
      </c>
      <c r="T7">
        <f t="shared" si="1"/>
        <v>90.041246509169909</v>
      </c>
      <c r="U7">
        <f t="shared" si="1"/>
        <v>83.716378589127089</v>
      </c>
      <c r="V7">
        <f t="shared" si="1"/>
        <v>78.639806835345553</v>
      </c>
      <c r="W7">
        <f t="shared" si="1"/>
        <v>74.77279843649228</v>
      </c>
      <c r="X7">
        <f t="shared" si="1"/>
        <v>72.065388072740745</v>
      </c>
      <c r="Y7">
        <f t="shared" si="1"/>
        <v>70.457082674152858</v>
      </c>
      <c r="Z7">
        <f t="shared" si="1"/>
        <v>69.877608791171312</v>
      </c>
      <c r="AA7">
        <f t="shared" si="1"/>
        <v>70.247708986070833</v>
      </c>
      <c r="AB7">
        <f t="shared" si="1"/>
        <v>71.479992076188793</v>
      </c>
      <c r="AC7">
        <f t="shared" si="1"/>
        <v>73.479839349587024</v>
      </c>
      <c r="AD7">
        <f t="shared" si="1"/>
        <v>76.146365552963005</v>
      </c>
      <c r="AE7">
        <f t="shared" si="1"/>
        <v>79.373430029512335</v>
      </c>
      <c r="AF7">
        <f t="shared" si="1"/>
        <v>83.050690304311217</v>
      </c>
      <c r="AG7">
        <f t="shared" si="1"/>
        <v>87.064688013120929</v>
      </c>
      <c r="AH7">
        <f t="shared" si="1"/>
        <v>91.299955552896776</v>
      </c>
      <c r="AI7">
        <f>AI11*AJ5+AI12</f>
        <v>95.640131266593073</v>
      </c>
    </row>
    <row r="8" spans="1:36" x14ac:dyDescent="0.3">
      <c r="A8" s="1" t="s">
        <v>7</v>
      </c>
      <c r="B8" s="1">
        <v>7800</v>
      </c>
    </row>
    <row r="9" spans="1:36" x14ac:dyDescent="0.3">
      <c r="A9" s="1" t="s">
        <v>8</v>
      </c>
      <c r="B9" s="1">
        <v>46</v>
      </c>
      <c r="E9" t="s">
        <v>11</v>
      </c>
    </row>
    <row r="10" spans="1:36" x14ac:dyDescent="0.3">
      <c r="A10" s="1" t="s">
        <v>9</v>
      </c>
      <c r="B10" s="1">
        <v>300</v>
      </c>
    </row>
    <row r="11" spans="1:36" x14ac:dyDescent="0.3">
      <c r="A11" s="1" t="s">
        <v>10</v>
      </c>
      <c r="B11" s="1">
        <v>100</v>
      </c>
      <c r="E11" t="s">
        <v>12</v>
      </c>
      <c r="F11">
        <v>0</v>
      </c>
      <c r="G11" s="12">
        <f>$B$14/($B$15-$B$16*F11)</f>
        <v>0.24999999999999997</v>
      </c>
      <c r="H11" s="12">
        <f t="shared" ref="H11:AJ11" si="2">$B$14/($B$15-$B$16*G11)</f>
        <v>0.26666666666666666</v>
      </c>
      <c r="I11" s="12">
        <f t="shared" si="2"/>
        <v>0.26785714285714285</v>
      </c>
      <c r="J11" s="12">
        <f t="shared" si="2"/>
        <v>0.26794258373205737</v>
      </c>
      <c r="K11" s="12">
        <f t="shared" si="2"/>
        <v>0.26794871794871788</v>
      </c>
      <c r="L11" s="12">
        <f t="shared" si="2"/>
        <v>0.26794915836482303</v>
      </c>
      <c r="M11" s="12">
        <f t="shared" si="2"/>
        <v>0.2679491899852724</v>
      </c>
      <c r="N11" s="12">
        <f t="shared" si="2"/>
        <v>0.2679491922555185</v>
      </c>
      <c r="O11" s="12">
        <f t="shared" si="2"/>
        <v>0.26794919241851489</v>
      </c>
      <c r="P11" s="12">
        <f t="shared" si="2"/>
        <v>0.26794919243021748</v>
      </c>
      <c r="Q11" s="12">
        <f t="shared" si="2"/>
        <v>0.26794919243105769</v>
      </c>
      <c r="R11" s="12">
        <f t="shared" si="2"/>
        <v>0.26794919243111798</v>
      </c>
      <c r="S11" s="12">
        <f t="shared" si="2"/>
        <v>0.26794919243112231</v>
      </c>
      <c r="T11" s="12">
        <f t="shared" si="2"/>
        <v>0.26794919243112264</v>
      </c>
      <c r="U11" s="12">
        <f t="shared" si="2"/>
        <v>0.26794919243112264</v>
      </c>
      <c r="V11" s="12">
        <f t="shared" si="2"/>
        <v>0.26794919243112264</v>
      </c>
      <c r="W11" s="12">
        <f t="shared" si="2"/>
        <v>0.26794919243112264</v>
      </c>
      <c r="X11" s="12">
        <f t="shared" si="2"/>
        <v>0.26794919243112264</v>
      </c>
      <c r="Y11" s="12">
        <f t="shared" si="2"/>
        <v>0.26794919243112264</v>
      </c>
      <c r="Z11" s="12">
        <f t="shared" si="2"/>
        <v>0.26794919243112264</v>
      </c>
      <c r="AA11" s="12">
        <f t="shared" si="2"/>
        <v>0.26794919243112264</v>
      </c>
      <c r="AB11" s="12">
        <f t="shared" si="2"/>
        <v>0.26794919243112264</v>
      </c>
      <c r="AC11" s="12">
        <f t="shared" si="2"/>
        <v>0.26794919243112264</v>
      </c>
      <c r="AD11" s="12">
        <f t="shared" si="2"/>
        <v>0.26794919243112264</v>
      </c>
      <c r="AE11" s="12">
        <f t="shared" si="2"/>
        <v>0.26794919243112264</v>
      </c>
      <c r="AF11" s="12">
        <f t="shared" si="2"/>
        <v>0.26794919243112264</v>
      </c>
      <c r="AG11" s="12">
        <f t="shared" si="2"/>
        <v>0.26794919243112264</v>
      </c>
      <c r="AH11" s="12">
        <f t="shared" si="2"/>
        <v>0.26794919243112264</v>
      </c>
      <c r="AI11" s="12">
        <f t="shared" si="2"/>
        <v>0.26794919243112264</v>
      </c>
    </row>
    <row r="12" spans="1:36" x14ac:dyDescent="0.3">
      <c r="C12">
        <v>62</v>
      </c>
      <c r="E12" t="s">
        <v>13</v>
      </c>
      <c r="F12">
        <f>F5</f>
        <v>300</v>
      </c>
      <c r="G12" s="12">
        <f>(F12*$B$16-G13)/($B$15-$B$16*F11)</f>
        <v>214.72813119521328</v>
      </c>
      <c r="H12" s="12">
        <f t="shared" ref="H12:AJ12" si="3">(G12*$B$16-H13)/($B$15-$B$16*G11)</f>
        <v>195.58896961122406</v>
      </c>
      <c r="I12" s="12">
        <f t="shared" si="3"/>
        <v>180.86684653006918</v>
      </c>
      <c r="J12" s="12">
        <f t="shared" si="3"/>
        <v>166.86496511215509</v>
      </c>
      <c r="K12" s="12">
        <f t="shared" si="3"/>
        <v>153.42348973767628</v>
      </c>
      <c r="L12" s="12">
        <f t="shared" si="3"/>
        <v>140.6107749856553</v>
      </c>
      <c r="M12" s="12">
        <f t="shared" si="3"/>
        <v>128.50255834402853</v>
      </c>
      <c r="N12" s="12">
        <f t="shared" si="3"/>
        <v>117.16578416219244</v>
      </c>
      <c r="O12" s="12">
        <f t="shared" si="3"/>
        <v>106.65677396008741</v>
      </c>
      <c r="P12" s="12">
        <f t="shared" si="3"/>
        <v>97.020841878710897</v>
      </c>
      <c r="Q12" s="12">
        <f t="shared" si="3"/>
        <v>88.292287341154463</v>
      </c>
      <c r="R12" s="12">
        <f t="shared" si="3"/>
        <v>80.494575192300815</v>
      </c>
      <c r="S12" s="12">
        <f t="shared" si="3"/>
        <v>73.640626485252412</v>
      </c>
      <c r="T12" s="12">
        <f t="shared" si="3"/>
        <v>67.73317816604218</v>
      </c>
      <c r="U12" s="12">
        <f t="shared" si="3"/>
        <v>62.765187076639812</v>
      </c>
      <c r="V12" s="12">
        <f t="shared" si="3"/>
        <v>58.72026421494855</v>
      </c>
      <c r="W12" s="12">
        <f t="shared" si="3"/>
        <v>55.573132616531645</v>
      </c>
      <c r="X12" s="12">
        <f t="shared" si="3"/>
        <v>53.290107645388623</v>
      </c>
      <c r="Y12" s="12">
        <f t="shared" si="3"/>
        <v>51.829602162853746</v>
      </c>
      <c r="Z12" s="12">
        <f t="shared" si="3"/>
        <v>51.142661066161267</v>
      </c>
      <c r="AA12" s="12">
        <f t="shared" si="3"/>
        <v>51.173530181476629</v>
      </c>
      <c r="AB12" s="12">
        <f t="shared" si="3"/>
        <v>51.860263695164754</v>
      </c>
      <c r="AC12" s="12">
        <f t="shared" si="3"/>
        <v>53.135372538432556</v>
      </c>
      <c r="AD12" s="12">
        <f t="shared" si="3"/>
        <v>54.926513783508803</v>
      </c>
      <c r="AE12" s="12">
        <f t="shared" si="3"/>
        <v>57.157218550256516</v>
      </c>
      <c r="AF12" s="12">
        <f t="shared" si="3"/>
        <v>59.747653510662076</v>
      </c>
      <c r="AG12" s="12">
        <f t="shared" si="3"/>
        <v>62.61540909513473</v>
      </c>
      <c r="AH12" s="12">
        <f t="shared" si="3"/>
        <v>65.676306136758143</v>
      </c>
      <c r="AI12" s="12">
        <f t="shared" si="3"/>
        <v>68.845212023480812</v>
      </c>
    </row>
    <row r="13" spans="1:36" x14ac:dyDescent="0.3">
      <c r="E13" t="s">
        <v>14</v>
      </c>
      <c r="F13" s="13">
        <f>-($B$8*$B$7*F5)/$B$4</f>
        <v>-2484000000</v>
      </c>
      <c r="G13" s="13">
        <f t="shared" ref="G13:AJ13" si="4">-($B$8*$B$7*G5)/$B$4</f>
        <v>-2313897852.592732</v>
      </c>
      <c r="H13" s="13">
        <f t="shared" si="4"/>
        <v>-2147544290.0660701</v>
      </c>
      <c r="I13" s="13">
        <f t="shared" si="4"/>
        <v>-1985739645.7782815</v>
      </c>
      <c r="J13" s="13">
        <f t="shared" si="4"/>
        <v>-1829453750.2395015</v>
      </c>
      <c r="K13" s="13">
        <f t="shared" si="4"/>
        <v>-1679682073.43522</v>
      </c>
      <c r="L13" s="13">
        <f t="shared" si="4"/>
        <v>-1537360571.9355383</v>
      </c>
      <c r="M13" s="13">
        <f t="shared" si="4"/>
        <v>-1403324646.9826221</v>
      </c>
      <c r="N13" s="13">
        <f t="shared" si="4"/>
        <v>-1278291659.5661991</v>
      </c>
      <c r="O13" s="13">
        <f t="shared" si="4"/>
        <v>-1162854441.1224654</v>
      </c>
      <c r="P13" s="13">
        <f t="shared" si="4"/>
        <v>-1057479940.5279474</v>
      </c>
      <c r="Q13" s="13">
        <f t="shared" si="4"/>
        <v>-962510506.03541529</v>
      </c>
      <c r="R13" s="13">
        <f t="shared" si="4"/>
        <v>-878166686.02218962</v>
      </c>
      <c r="S13" s="13">
        <f t="shared" si="4"/>
        <v>-804550975.21671653</v>
      </c>
      <c r="T13" s="13">
        <f t="shared" si="4"/>
        <v>-741652168.16452241</v>
      </c>
      <c r="U13" s="13">
        <f t="shared" si="4"/>
        <v>-689350112.25524855</v>
      </c>
      <c r="V13" s="13">
        <f t="shared" si="4"/>
        <v>-647420744.76670539</v>
      </c>
      <c r="W13" s="13">
        <f t="shared" si="4"/>
        <v>-615541369.61724222</v>
      </c>
      <c r="X13" s="13">
        <f t="shared" si="4"/>
        <v>-593296182.55945587</v>
      </c>
      <c r="Y13" s="13">
        <f t="shared" si="4"/>
        <v>-580182087.98459816</v>
      </c>
      <c r="Z13" s="13">
        <f t="shared" si="4"/>
        <v>-575614866.5131861</v>
      </c>
      <c r="AA13" s="13">
        <f t="shared" si="4"/>
        <v>-578935751.79540324</v>
      </c>
      <c r="AB13" s="13">
        <f t="shared" si="4"/>
        <v>-589418460.52638352</v>
      </c>
      <c r="AC13" s="13">
        <f t="shared" si="4"/>
        <v>-606276695.67109358</v>
      </c>
      <c r="AD13" s="13">
        <f t="shared" si="4"/>
        <v>-628672113.79881382</v>
      </c>
      <c r="AE13" s="13">
        <f t="shared" si="4"/>
        <v>-655722717.64261878</v>
      </c>
      <c r="AF13" s="13">
        <f t="shared" si="4"/>
        <v>-686511608.33605909</v>
      </c>
      <c r="AG13" s="13">
        <f t="shared" si="4"/>
        <v>-720096011.11603725</v>
      </c>
      <c r="AH13" s="13">
        <f t="shared" si="4"/>
        <v>-755516475.35927439</v>
      </c>
      <c r="AI13" s="13">
        <f t="shared" si="4"/>
        <v>-791806145.18987739</v>
      </c>
    </row>
    <row r="14" spans="1:36" x14ac:dyDescent="0.3">
      <c r="A14" s="1" t="s">
        <v>15</v>
      </c>
      <c r="B14" s="1">
        <f>B9/(B3^2)</f>
        <v>4139999.9999999991</v>
      </c>
    </row>
    <row r="15" spans="1:36" x14ac:dyDescent="0.3">
      <c r="A15" s="1" t="s">
        <v>16</v>
      </c>
      <c r="B15" s="1">
        <f>(2*B9)/(B3^2)+(B7*B8)/B4</f>
        <v>16559999.999999998</v>
      </c>
    </row>
    <row r="16" spans="1:36" x14ac:dyDescent="0.3">
      <c r="A16" s="1" t="s">
        <v>17</v>
      </c>
      <c r="B16" s="1">
        <f>B14</f>
        <v>4139999.9999999991</v>
      </c>
    </row>
  </sheetData>
  <conditionalFormatting sqref="F5">
    <cfRule type="colorScale" priority="6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AJ5 F5">
    <cfRule type="colorScale" priority="5">
      <colorScale>
        <cfvo type="min"/>
        <cfvo type="max"/>
        <color rgb="FF0070C0"/>
        <color rgb="FFFF0000"/>
      </colorScale>
    </cfRule>
    <cfRule type="colorScale" priority="4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3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G5:AI5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F5:AJ5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Макрос1">
                <anchor moveWithCells="1" sizeWithCells="1">
                  <from>
                    <xdr:col>19</xdr:col>
                    <xdr:colOff>91440</xdr:colOff>
                    <xdr:row>15</xdr:row>
                    <xdr:rowOff>30480</xdr:rowOff>
                  </from>
                  <to>
                    <xdr:col>23</xdr:col>
                    <xdr:colOff>106680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2021-04-04T16:45:53Z</dcterms:created>
  <dcterms:modified xsi:type="dcterms:W3CDTF">2021-04-04T21:11:55Z</dcterms:modified>
</cp:coreProperties>
</file>