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Анна\Desktop\ММС\"/>
    </mc:Choice>
  </mc:AlternateContent>
  <xr:revisionPtr revIDLastSave="0" documentId="13_ncr:1_{55EAD80C-E359-4EBD-8C57-339300640B5C}" xr6:coauthVersionLast="45" xr6:coauthVersionMax="45" xr10:uidLastSave="{00000000-0000-0000-0000-000000000000}"/>
  <bookViews>
    <workbookView xWindow="-108" yWindow="-108" windowWidth="23256" windowHeight="12576" xr2:uid="{7483D04C-8D38-4E56-A7E6-DAA6174CF2A0}"/>
  </bookViews>
  <sheets>
    <sheet name="Лист1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69" i="1" l="1"/>
  <c r="AK69" i="1"/>
  <c r="DC93" i="1"/>
  <c r="DC92" i="1" s="1"/>
  <c r="DC91" i="1" s="1"/>
  <c r="DC90" i="1" s="1"/>
  <c r="DC89" i="1" s="1"/>
  <c r="DC88" i="1" s="1"/>
  <c r="DC87" i="1" s="1"/>
  <c r="DC86" i="1" s="1"/>
  <c r="DC85" i="1" s="1"/>
  <c r="DC84" i="1" s="1"/>
  <c r="DC83" i="1" s="1"/>
  <c r="DC82" i="1" s="1"/>
  <c r="DC81" i="1" s="1"/>
  <c r="DC80" i="1" s="1"/>
  <c r="DC79" i="1" s="1"/>
  <c r="DC78" i="1" s="1"/>
  <c r="DC77" i="1" s="1"/>
  <c r="DC76" i="1" s="1"/>
  <c r="DC75" i="1" s="1"/>
  <c r="DC74" i="1" s="1"/>
  <c r="DC73" i="1" s="1"/>
  <c r="DC72" i="1" s="1"/>
  <c r="DC71" i="1" s="1"/>
  <c r="DC70" i="1" s="1"/>
  <c r="DC69" i="1" s="1"/>
  <c r="DC97" i="1"/>
  <c r="DC96" i="1" s="1"/>
  <c r="DC95" i="1" s="1"/>
  <c r="DC94" i="1" s="1"/>
  <c r="EG97" i="1"/>
  <c r="EG96" i="1" s="1"/>
  <c r="EG95" i="1" s="1"/>
  <c r="EG94" i="1" s="1"/>
  <c r="EG93" i="1" s="1"/>
  <c r="EG92" i="1" s="1"/>
  <c r="EG91" i="1" s="1"/>
  <c r="EG90" i="1" s="1"/>
  <c r="EG89" i="1" s="1"/>
  <c r="EG88" i="1" s="1"/>
  <c r="EG87" i="1" s="1"/>
  <c r="EG86" i="1" s="1"/>
  <c r="EG85" i="1" s="1"/>
  <c r="EG84" i="1" s="1"/>
  <c r="EG83" i="1" s="1"/>
  <c r="EG82" i="1" s="1"/>
  <c r="EG81" i="1" s="1"/>
  <c r="EG80" i="1" s="1"/>
  <c r="EG79" i="1" s="1"/>
  <c r="EG78" i="1" s="1"/>
  <c r="EG77" i="1" s="1"/>
  <c r="EG76" i="1" s="1"/>
  <c r="EG75" i="1" s="1"/>
  <c r="EG74" i="1" s="1"/>
  <c r="EG73" i="1" s="1"/>
  <c r="EG72" i="1" s="1"/>
  <c r="EG71" i="1" s="1"/>
  <c r="EG70" i="1" s="1"/>
  <c r="EG69" i="1" s="1"/>
  <c r="EG98" i="1"/>
  <c r="DC98" i="1"/>
  <c r="CC93" i="1"/>
  <c r="CC92" i="1" s="1"/>
  <c r="CC91" i="1" s="1"/>
  <c r="CC90" i="1" s="1"/>
  <c r="CC89" i="1" s="1"/>
  <c r="CC88" i="1" s="1"/>
  <c r="CC87" i="1" s="1"/>
  <c r="CC86" i="1" s="1"/>
  <c r="CC85" i="1" s="1"/>
  <c r="CC84" i="1" s="1"/>
  <c r="CC83" i="1" s="1"/>
  <c r="CC82" i="1" s="1"/>
  <c r="CC81" i="1" s="1"/>
  <c r="CC80" i="1" s="1"/>
  <c r="CC79" i="1" s="1"/>
  <c r="CC78" i="1" s="1"/>
  <c r="CC77" i="1" s="1"/>
  <c r="CC76" i="1" s="1"/>
  <c r="CC75" i="1" s="1"/>
  <c r="CC74" i="1" s="1"/>
  <c r="CC73" i="1" s="1"/>
  <c r="CC72" i="1" s="1"/>
  <c r="CC71" i="1" s="1"/>
  <c r="CC70" i="1" s="1"/>
  <c r="CC69" i="1" s="1"/>
  <c r="CS93" i="1"/>
  <c r="CS92" i="1" s="1"/>
  <c r="CS91" i="1" s="1"/>
  <c r="CS90" i="1" s="1"/>
  <c r="CS89" i="1" s="1"/>
  <c r="CS88" i="1" s="1"/>
  <c r="CS87" i="1" s="1"/>
  <c r="CS86" i="1" s="1"/>
  <c r="CS85" i="1" s="1"/>
  <c r="CS84" i="1" s="1"/>
  <c r="CS83" i="1" s="1"/>
  <c r="CS82" i="1" s="1"/>
  <c r="CS81" i="1" s="1"/>
  <c r="CS80" i="1" s="1"/>
  <c r="CS79" i="1" s="1"/>
  <c r="CS78" i="1" s="1"/>
  <c r="CS77" i="1" s="1"/>
  <c r="CS76" i="1" s="1"/>
  <c r="CS75" i="1" s="1"/>
  <c r="CS74" i="1" s="1"/>
  <c r="CS73" i="1" s="1"/>
  <c r="CS72" i="1" s="1"/>
  <c r="CS71" i="1" s="1"/>
  <c r="CS70" i="1" s="1"/>
  <c r="CS69" i="1" s="1"/>
  <c r="CC94" i="1"/>
  <c r="CD94" i="1"/>
  <c r="CD93" i="1" s="1"/>
  <c r="CD92" i="1" s="1"/>
  <c r="CD91" i="1" s="1"/>
  <c r="CD90" i="1" s="1"/>
  <c r="CD89" i="1" s="1"/>
  <c r="CD88" i="1" s="1"/>
  <c r="CD87" i="1" s="1"/>
  <c r="CD86" i="1" s="1"/>
  <c r="CD85" i="1" s="1"/>
  <c r="CD84" i="1" s="1"/>
  <c r="CD83" i="1" s="1"/>
  <c r="CD82" i="1" s="1"/>
  <c r="CD81" i="1" s="1"/>
  <c r="CD80" i="1" s="1"/>
  <c r="CD79" i="1" s="1"/>
  <c r="CD78" i="1" s="1"/>
  <c r="CD77" i="1" s="1"/>
  <c r="CD76" i="1" s="1"/>
  <c r="CD75" i="1" s="1"/>
  <c r="CD74" i="1" s="1"/>
  <c r="CD73" i="1" s="1"/>
  <c r="CD72" i="1" s="1"/>
  <c r="CD71" i="1" s="1"/>
  <c r="CD70" i="1" s="1"/>
  <c r="CD69" i="1" s="1"/>
  <c r="CS94" i="1"/>
  <c r="CT94" i="1"/>
  <c r="CT93" i="1" s="1"/>
  <c r="CT92" i="1" s="1"/>
  <c r="CT91" i="1" s="1"/>
  <c r="CT90" i="1" s="1"/>
  <c r="CT89" i="1" s="1"/>
  <c r="CT88" i="1" s="1"/>
  <c r="CT87" i="1" s="1"/>
  <c r="CT86" i="1" s="1"/>
  <c r="CT85" i="1" s="1"/>
  <c r="CT84" i="1" s="1"/>
  <c r="CT83" i="1" s="1"/>
  <c r="CT82" i="1" s="1"/>
  <c r="CT81" i="1" s="1"/>
  <c r="CT80" i="1" s="1"/>
  <c r="CT79" i="1" s="1"/>
  <c r="CT78" i="1" s="1"/>
  <c r="CT77" i="1" s="1"/>
  <c r="CT76" i="1" s="1"/>
  <c r="CT75" i="1" s="1"/>
  <c r="CT74" i="1" s="1"/>
  <c r="CT73" i="1" s="1"/>
  <c r="CT72" i="1" s="1"/>
  <c r="CT71" i="1" s="1"/>
  <c r="CT70" i="1" s="1"/>
  <c r="CT69" i="1" s="1"/>
  <c r="BU95" i="1"/>
  <c r="BU94" i="1" s="1"/>
  <c r="BU93" i="1" s="1"/>
  <c r="BU92" i="1" s="1"/>
  <c r="BU91" i="1" s="1"/>
  <c r="BU90" i="1" s="1"/>
  <c r="BU89" i="1" s="1"/>
  <c r="BU88" i="1" s="1"/>
  <c r="BU87" i="1" s="1"/>
  <c r="BU86" i="1" s="1"/>
  <c r="BU85" i="1" s="1"/>
  <c r="BU84" i="1" s="1"/>
  <c r="BU83" i="1" s="1"/>
  <c r="BU82" i="1" s="1"/>
  <c r="BU81" i="1" s="1"/>
  <c r="BU80" i="1" s="1"/>
  <c r="BU79" i="1" s="1"/>
  <c r="BU78" i="1" s="1"/>
  <c r="BU77" i="1" s="1"/>
  <c r="BU76" i="1" s="1"/>
  <c r="BU75" i="1" s="1"/>
  <c r="BU74" i="1" s="1"/>
  <c r="BU73" i="1" s="1"/>
  <c r="BU72" i="1" s="1"/>
  <c r="BU71" i="1" s="1"/>
  <c r="BU70" i="1" s="1"/>
  <c r="BU69" i="1" s="1"/>
  <c r="CC95" i="1"/>
  <c r="CD95" i="1"/>
  <c r="CE95" i="1"/>
  <c r="CE94" i="1" s="1"/>
  <c r="CE93" i="1" s="1"/>
  <c r="CE92" i="1" s="1"/>
  <c r="CE91" i="1" s="1"/>
  <c r="CE90" i="1" s="1"/>
  <c r="CE89" i="1" s="1"/>
  <c r="CE88" i="1" s="1"/>
  <c r="CE87" i="1" s="1"/>
  <c r="CE86" i="1" s="1"/>
  <c r="CE85" i="1" s="1"/>
  <c r="CE84" i="1" s="1"/>
  <c r="CE83" i="1" s="1"/>
  <c r="CE82" i="1" s="1"/>
  <c r="CE81" i="1" s="1"/>
  <c r="CE80" i="1" s="1"/>
  <c r="CE79" i="1" s="1"/>
  <c r="CE78" i="1" s="1"/>
  <c r="CE77" i="1" s="1"/>
  <c r="CE76" i="1" s="1"/>
  <c r="CE75" i="1" s="1"/>
  <c r="CE74" i="1" s="1"/>
  <c r="CE73" i="1" s="1"/>
  <c r="CE72" i="1" s="1"/>
  <c r="CE71" i="1" s="1"/>
  <c r="CE70" i="1" s="1"/>
  <c r="CE69" i="1" s="1"/>
  <c r="CK95" i="1"/>
  <c r="CK94" i="1" s="1"/>
  <c r="CK93" i="1" s="1"/>
  <c r="CK92" i="1" s="1"/>
  <c r="CK91" i="1" s="1"/>
  <c r="CK90" i="1" s="1"/>
  <c r="CK89" i="1" s="1"/>
  <c r="CK88" i="1" s="1"/>
  <c r="CK87" i="1" s="1"/>
  <c r="CK86" i="1" s="1"/>
  <c r="CK85" i="1" s="1"/>
  <c r="CK84" i="1" s="1"/>
  <c r="CK83" i="1" s="1"/>
  <c r="CK82" i="1" s="1"/>
  <c r="CK81" i="1" s="1"/>
  <c r="CK80" i="1" s="1"/>
  <c r="CK79" i="1" s="1"/>
  <c r="CK78" i="1" s="1"/>
  <c r="CK77" i="1" s="1"/>
  <c r="CK76" i="1" s="1"/>
  <c r="CK75" i="1" s="1"/>
  <c r="CK74" i="1" s="1"/>
  <c r="CK73" i="1" s="1"/>
  <c r="CK72" i="1" s="1"/>
  <c r="CK71" i="1" s="1"/>
  <c r="CK70" i="1" s="1"/>
  <c r="CK69" i="1" s="1"/>
  <c r="CS95" i="1"/>
  <c r="CT95" i="1"/>
  <c r="CU95" i="1"/>
  <c r="CU94" i="1" s="1"/>
  <c r="CU93" i="1" s="1"/>
  <c r="CU92" i="1" s="1"/>
  <c r="CU91" i="1" s="1"/>
  <c r="CU90" i="1" s="1"/>
  <c r="CU89" i="1" s="1"/>
  <c r="CU88" i="1" s="1"/>
  <c r="CU87" i="1" s="1"/>
  <c r="CU86" i="1" s="1"/>
  <c r="CU85" i="1" s="1"/>
  <c r="CU84" i="1" s="1"/>
  <c r="CU83" i="1" s="1"/>
  <c r="CU82" i="1" s="1"/>
  <c r="CU81" i="1" s="1"/>
  <c r="CU80" i="1" s="1"/>
  <c r="CU79" i="1" s="1"/>
  <c r="CU78" i="1" s="1"/>
  <c r="CU77" i="1" s="1"/>
  <c r="CU76" i="1" s="1"/>
  <c r="CU75" i="1" s="1"/>
  <c r="CU74" i="1" s="1"/>
  <c r="CU73" i="1" s="1"/>
  <c r="CU72" i="1" s="1"/>
  <c r="CU71" i="1" s="1"/>
  <c r="CU70" i="1" s="1"/>
  <c r="CU69" i="1" s="1"/>
  <c r="BU96" i="1"/>
  <c r="CC96" i="1"/>
  <c r="CD96" i="1"/>
  <c r="CE96" i="1"/>
  <c r="CF96" i="1"/>
  <c r="CF95" i="1" s="1"/>
  <c r="CF94" i="1" s="1"/>
  <c r="CF93" i="1" s="1"/>
  <c r="CF92" i="1" s="1"/>
  <c r="CF91" i="1" s="1"/>
  <c r="CF90" i="1" s="1"/>
  <c r="CF89" i="1" s="1"/>
  <c r="CF88" i="1" s="1"/>
  <c r="CF87" i="1" s="1"/>
  <c r="CF86" i="1" s="1"/>
  <c r="CF85" i="1" s="1"/>
  <c r="CF84" i="1" s="1"/>
  <c r="CF83" i="1" s="1"/>
  <c r="CF82" i="1" s="1"/>
  <c r="CF81" i="1" s="1"/>
  <c r="CF80" i="1" s="1"/>
  <c r="CF79" i="1" s="1"/>
  <c r="CF78" i="1" s="1"/>
  <c r="CF77" i="1" s="1"/>
  <c r="CF76" i="1" s="1"/>
  <c r="CF75" i="1" s="1"/>
  <c r="CF74" i="1" s="1"/>
  <c r="CF73" i="1" s="1"/>
  <c r="CF72" i="1" s="1"/>
  <c r="CF71" i="1" s="1"/>
  <c r="CF70" i="1" s="1"/>
  <c r="CF69" i="1" s="1"/>
  <c r="CK96" i="1"/>
  <c r="CS96" i="1"/>
  <c r="CT96" i="1"/>
  <c r="CU96" i="1"/>
  <c r="CV96" i="1"/>
  <c r="CV95" i="1" s="1"/>
  <c r="CV94" i="1" s="1"/>
  <c r="CV93" i="1" s="1"/>
  <c r="CV92" i="1" s="1"/>
  <c r="CV91" i="1" s="1"/>
  <c r="CV90" i="1" s="1"/>
  <c r="CV89" i="1" s="1"/>
  <c r="CV88" i="1" s="1"/>
  <c r="CV87" i="1" s="1"/>
  <c r="CV86" i="1" s="1"/>
  <c r="CV85" i="1" s="1"/>
  <c r="CV84" i="1" s="1"/>
  <c r="CV83" i="1" s="1"/>
  <c r="CV82" i="1" s="1"/>
  <c r="CV81" i="1" s="1"/>
  <c r="CV80" i="1" s="1"/>
  <c r="CV79" i="1" s="1"/>
  <c r="CV78" i="1" s="1"/>
  <c r="CV77" i="1" s="1"/>
  <c r="CV76" i="1" s="1"/>
  <c r="CV75" i="1" s="1"/>
  <c r="CV74" i="1" s="1"/>
  <c r="CV73" i="1" s="1"/>
  <c r="CV72" i="1" s="1"/>
  <c r="CV71" i="1" s="1"/>
  <c r="CV70" i="1" s="1"/>
  <c r="CV69" i="1" s="1"/>
  <c r="BU97" i="1"/>
  <c r="BV97" i="1"/>
  <c r="BV96" i="1" s="1"/>
  <c r="BV95" i="1" s="1"/>
  <c r="BV94" i="1" s="1"/>
  <c r="BV93" i="1" s="1"/>
  <c r="BV92" i="1" s="1"/>
  <c r="BV91" i="1" s="1"/>
  <c r="BV90" i="1" s="1"/>
  <c r="BV89" i="1" s="1"/>
  <c r="BV88" i="1" s="1"/>
  <c r="BV87" i="1" s="1"/>
  <c r="BV86" i="1" s="1"/>
  <c r="BV85" i="1" s="1"/>
  <c r="BV84" i="1" s="1"/>
  <c r="BV83" i="1" s="1"/>
  <c r="BV82" i="1" s="1"/>
  <c r="BV81" i="1" s="1"/>
  <c r="BV80" i="1" s="1"/>
  <c r="BV79" i="1" s="1"/>
  <c r="BV78" i="1" s="1"/>
  <c r="BV77" i="1" s="1"/>
  <c r="BV76" i="1" s="1"/>
  <c r="BV75" i="1" s="1"/>
  <c r="BV74" i="1" s="1"/>
  <c r="BV73" i="1" s="1"/>
  <c r="BV72" i="1" s="1"/>
  <c r="BV71" i="1" s="1"/>
  <c r="BV70" i="1" s="1"/>
  <c r="BV69" i="1" s="1"/>
  <c r="BW97" i="1"/>
  <c r="BW96" i="1" s="1"/>
  <c r="BW95" i="1" s="1"/>
  <c r="BW94" i="1" s="1"/>
  <c r="BW93" i="1" s="1"/>
  <c r="BW92" i="1" s="1"/>
  <c r="BW91" i="1" s="1"/>
  <c r="BW90" i="1" s="1"/>
  <c r="BW89" i="1" s="1"/>
  <c r="BW88" i="1" s="1"/>
  <c r="BW87" i="1" s="1"/>
  <c r="BW86" i="1" s="1"/>
  <c r="BW85" i="1" s="1"/>
  <c r="BW84" i="1" s="1"/>
  <c r="BW83" i="1" s="1"/>
  <c r="BW82" i="1" s="1"/>
  <c r="BW81" i="1" s="1"/>
  <c r="BW80" i="1" s="1"/>
  <c r="BW79" i="1" s="1"/>
  <c r="BW78" i="1" s="1"/>
  <c r="BW77" i="1" s="1"/>
  <c r="BW76" i="1" s="1"/>
  <c r="BW75" i="1" s="1"/>
  <c r="BW74" i="1" s="1"/>
  <c r="BW73" i="1" s="1"/>
  <c r="BW72" i="1" s="1"/>
  <c r="BW71" i="1" s="1"/>
  <c r="BW70" i="1" s="1"/>
  <c r="BW69" i="1" s="1"/>
  <c r="BX97" i="1"/>
  <c r="BX96" i="1" s="1"/>
  <c r="BX95" i="1" s="1"/>
  <c r="BX94" i="1" s="1"/>
  <c r="BX93" i="1" s="1"/>
  <c r="BX92" i="1" s="1"/>
  <c r="BX91" i="1" s="1"/>
  <c r="BX90" i="1" s="1"/>
  <c r="BX89" i="1" s="1"/>
  <c r="BX88" i="1" s="1"/>
  <c r="BX87" i="1" s="1"/>
  <c r="BX86" i="1" s="1"/>
  <c r="BX85" i="1" s="1"/>
  <c r="BX84" i="1" s="1"/>
  <c r="BX83" i="1" s="1"/>
  <c r="BX82" i="1" s="1"/>
  <c r="BX81" i="1" s="1"/>
  <c r="BX80" i="1" s="1"/>
  <c r="BX79" i="1" s="1"/>
  <c r="BX78" i="1" s="1"/>
  <c r="BX77" i="1" s="1"/>
  <c r="BX76" i="1" s="1"/>
  <c r="BX75" i="1" s="1"/>
  <c r="BX74" i="1" s="1"/>
  <c r="BX73" i="1" s="1"/>
  <c r="BX72" i="1" s="1"/>
  <c r="BX71" i="1" s="1"/>
  <c r="BX70" i="1" s="1"/>
  <c r="BX69" i="1" s="1"/>
  <c r="BY97" i="1"/>
  <c r="BY96" i="1" s="1"/>
  <c r="BY95" i="1" s="1"/>
  <c r="BY94" i="1" s="1"/>
  <c r="BY93" i="1" s="1"/>
  <c r="BY92" i="1" s="1"/>
  <c r="BY91" i="1" s="1"/>
  <c r="BY90" i="1" s="1"/>
  <c r="BY89" i="1" s="1"/>
  <c r="BY88" i="1" s="1"/>
  <c r="BY87" i="1" s="1"/>
  <c r="BY86" i="1" s="1"/>
  <c r="BY85" i="1" s="1"/>
  <c r="BY84" i="1" s="1"/>
  <c r="BY83" i="1" s="1"/>
  <c r="BY82" i="1" s="1"/>
  <c r="BY81" i="1" s="1"/>
  <c r="BY80" i="1" s="1"/>
  <c r="BY79" i="1" s="1"/>
  <c r="BY78" i="1" s="1"/>
  <c r="BY77" i="1" s="1"/>
  <c r="BY76" i="1" s="1"/>
  <c r="BY75" i="1" s="1"/>
  <c r="BY74" i="1" s="1"/>
  <c r="BY73" i="1" s="1"/>
  <c r="BY72" i="1" s="1"/>
  <c r="BY71" i="1" s="1"/>
  <c r="BY70" i="1" s="1"/>
  <c r="BY69" i="1" s="1"/>
  <c r="BZ97" i="1"/>
  <c r="BZ96" i="1" s="1"/>
  <c r="BZ95" i="1" s="1"/>
  <c r="BZ94" i="1" s="1"/>
  <c r="BZ93" i="1" s="1"/>
  <c r="BZ92" i="1" s="1"/>
  <c r="BZ91" i="1" s="1"/>
  <c r="BZ90" i="1" s="1"/>
  <c r="BZ89" i="1" s="1"/>
  <c r="BZ88" i="1" s="1"/>
  <c r="BZ87" i="1" s="1"/>
  <c r="BZ86" i="1" s="1"/>
  <c r="BZ85" i="1" s="1"/>
  <c r="BZ84" i="1" s="1"/>
  <c r="BZ83" i="1" s="1"/>
  <c r="BZ82" i="1" s="1"/>
  <c r="BZ81" i="1" s="1"/>
  <c r="BZ80" i="1" s="1"/>
  <c r="BZ79" i="1" s="1"/>
  <c r="BZ78" i="1" s="1"/>
  <c r="BZ77" i="1" s="1"/>
  <c r="BZ76" i="1" s="1"/>
  <c r="BZ75" i="1" s="1"/>
  <c r="BZ74" i="1" s="1"/>
  <c r="BZ73" i="1" s="1"/>
  <c r="BZ72" i="1" s="1"/>
  <c r="BZ71" i="1" s="1"/>
  <c r="BZ70" i="1" s="1"/>
  <c r="BZ69" i="1" s="1"/>
  <c r="CA97" i="1"/>
  <c r="CA96" i="1" s="1"/>
  <c r="CA95" i="1" s="1"/>
  <c r="CA94" i="1" s="1"/>
  <c r="CA93" i="1" s="1"/>
  <c r="CA92" i="1" s="1"/>
  <c r="CA91" i="1" s="1"/>
  <c r="CA90" i="1" s="1"/>
  <c r="CA89" i="1" s="1"/>
  <c r="CA88" i="1" s="1"/>
  <c r="CA87" i="1" s="1"/>
  <c r="CA86" i="1" s="1"/>
  <c r="CA85" i="1" s="1"/>
  <c r="CA84" i="1" s="1"/>
  <c r="CA83" i="1" s="1"/>
  <c r="CA82" i="1" s="1"/>
  <c r="CA81" i="1" s="1"/>
  <c r="CA80" i="1" s="1"/>
  <c r="CA79" i="1" s="1"/>
  <c r="CA78" i="1" s="1"/>
  <c r="CA77" i="1" s="1"/>
  <c r="CA76" i="1" s="1"/>
  <c r="CA75" i="1" s="1"/>
  <c r="CA74" i="1" s="1"/>
  <c r="CA73" i="1" s="1"/>
  <c r="CA72" i="1" s="1"/>
  <c r="CA71" i="1" s="1"/>
  <c r="CA70" i="1" s="1"/>
  <c r="CA69" i="1" s="1"/>
  <c r="CB97" i="1"/>
  <c r="CB96" i="1" s="1"/>
  <c r="CB95" i="1" s="1"/>
  <c r="CB94" i="1" s="1"/>
  <c r="CB93" i="1" s="1"/>
  <c r="CB92" i="1" s="1"/>
  <c r="CB91" i="1" s="1"/>
  <c r="CB90" i="1" s="1"/>
  <c r="CB89" i="1" s="1"/>
  <c r="CB88" i="1" s="1"/>
  <c r="CB87" i="1" s="1"/>
  <c r="CB86" i="1" s="1"/>
  <c r="CB85" i="1" s="1"/>
  <c r="CB84" i="1" s="1"/>
  <c r="CB83" i="1" s="1"/>
  <c r="CB82" i="1" s="1"/>
  <c r="CB81" i="1" s="1"/>
  <c r="CB80" i="1" s="1"/>
  <c r="CB79" i="1" s="1"/>
  <c r="CB78" i="1" s="1"/>
  <c r="CB77" i="1" s="1"/>
  <c r="CB76" i="1" s="1"/>
  <c r="CB75" i="1" s="1"/>
  <c r="CB74" i="1" s="1"/>
  <c r="CB73" i="1" s="1"/>
  <c r="CB72" i="1" s="1"/>
  <c r="CB71" i="1" s="1"/>
  <c r="CB70" i="1" s="1"/>
  <c r="CB69" i="1" s="1"/>
  <c r="CC97" i="1"/>
  <c r="CD97" i="1"/>
  <c r="CE97" i="1"/>
  <c r="CF97" i="1"/>
  <c r="CG97" i="1"/>
  <c r="CG96" i="1" s="1"/>
  <c r="CG95" i="1" s="1"/>
  <c r="CG94" i="1" s="1"/>
  <c r="CG93" i="1" s="1"/>
  <c r="CG92" i="1" s="1"/>
  <c r="CG91" i="1" s="1"/>
  <c r="CG90" i="1" s="1"/>
  <c r="CG89" i="1" s="1"/>
  <c r="CG88" i="1" s="1"/>
  <c r="CG87" i="1" s="1"/>
  <c r="CG86" i="1" s="1"/>
  <c r="CG85" i="1" s="1"/>
  <c r="CG84" i="1" s="1"/>
  <c r="CG83" i="1" s="1"/>
  <c r="CG82" i="1" s="1"/>
  <c r="CG81" i="1" s="1"/>
  <c r="CG80" i="1" s="1"/>
  <c r="CG79" i="1" s="1"/>
  <c r="CG78" i="1" s="1"/>
  <c r="CG77" i="1" s="1"/>
  <c r="CG76" i="1" s="1"/>
  <c r="CG75" i="1" s="1"/>
  <c r="CG74" i="1" s="1"/>
  <c r="CG73" i="1" s="1"/>
  <c r="CG72" i="1" s="1"/>
  <c r="CG71" i="1" s="1"/>
  <c r="CG70" i="1" s="1"/>
  <c r="CG69" i="1" s="1"/>
  <c r="CH97" i="1"/>
  <c r="CH96" i="1" s="1"/>
  <c r="CH95" i="1" s="1"/>
  <c r="CH94" i="1" s="1"/>
  <c r="CH93" i="1" s="1"/>
  <c r="CH92" i="1" s="1"/>
  <c r="CH91" i="1" s="1"/>
  <c r="CH90" i="1" s="1"/>
  <c r="CH89" i="1" s="1"/>
  <c r="CH88" i="1" s="1"/>
  <c r="CH87" i="1" s="1"/>
  <c r="CH86" i="1" s="1"/>
  <c r="CH85" i="1" s="1"/>
  <c r="CH84" i="1" s="1"/>
  <c r="CH83" i="1" s="1"/>
  <c r="CH82" i="1" s="1"/>
  <c r="CH81" i="1" s="1"/>
  <c r="CH80" i="1" s="1"/>
  <c r="CH79" i="1" s="1"/>
  <c r="CH78" i="1" s="1"/>
  <c r="CH77" i="1" s="1"/>
  <c r="CH76" i="1" s="1"/>
  <c r="CH75" i="1" s="1"/>
  <c r="CH74" i="1" s="1"/>
  <c r="CH73" i="1" s="1"/>
  <c r="CH72" i="1" s="1"/>
  <c r="CH71" i="1" s="1"/>
  <c r="CH70" i="1" s="1"/>
  <c r="CH69" i="1" s="1"/>
  <c r="CI97" i="1"/>
  <c r="CI96" i="1" s="1"/>
  <c r="CI95" i="1" s="1"/>
  <c r="CI94" i="1" s="1"/>
  <c r="CI93" i="1" s="1"/>
  <c r="CI92" i="1" s="1"/>
  <c r="CI91" i="1" s="1"/>
  <c r="CI90" i="1" s="1"/>
  <c r="CI89" i="1" s="1"/>
  <c r="CI88" i="1" s="1"/>
  <c r="CI87" i="1" s="1"/>
  <c r="CI86" i="1" s="1"/>
  <c r="CI85" i="1" s="1"/>
  <c r="CI84" i="1" s="1"/>
  <c r="CI83" i="1" s="1"/>
  <c r="CI82" i="1" s="1"/>
  <c r="CI81" i="1" s="1"/>
  <c r="CI80" i="1" s="1"/>
  <c r="CI79" i="1" s="1"/>
  <c r="CI78" i="1" s="1"/>
  <c r="CI77" i="1" s="1"/>
  <c r="CI76" i="1" s="1"/>
  <c r="CI75" i="1" s="1"/>
  <c r="CI74" i="1" s="1"/>
  <c r="CI73" i="1" s="1"/>
  <c r="CI72" i="1" s="1"/>
  <c r="CI71" i="1" s="1"/>
  <c r="CI70" i="1" s="1"/>
  <c r="CI69" i="1" s="1"/>
  <c r="CJ97" i="1"/>
  <c r="CJ96" i="1" s="1"/>
  <c r="CJ95" i="1" s="1"/>
  <c r="CJ94" i="1" s="1"/>
  <c r="CJ93" i="1" s="1"/>
  <c r="CJ92" i="1" s="1"/>
  <c r="CJ91" i="1" s="1"/>
  <c r="CJ90" i="1" s="1"/>
  <c r="CJ89" i="1" s="1"/>
  <c r="CJ88" i="1" s="1"/>
  <c r="CJ87" i="1" s="1"/>
  <c r="CJ86" i="1" s="1"/>
  <c r="CJ85" i="1" s="1"/>
  <c r="CJ84" i="1" s="1"/>
  <c r="CJ83" i="1" s="1"/>
  <c r="CJ82" i="1" s="1"/>
  <c r="CJ81" i="1" s="1"/>
  <c r="CJ80" i="1" s="1"/>
  <c r="CJ79" i="1" s="1"/>
  <c r="CJ78" i="1" s="1"/>
  <c r="CJ77" i="1" s="1"/>
  <c r="CJ76" i="1" s="1"/>
  <c r="CJ75" i="1" s="1"/>
  <c r="CJ74" i="1" s="1"/>
  <c r="CJ73" i="1" s="1"/>
  <c r="CJ72" i="1" s="1"/>
  <c r="CJ71" i="1" s="1"/>
  <c r="CJ70" i="1" s="1"/>
  <c r="CJ69" i="1" s="1"/>
  <c r="CK97" i="1"/>
  <c r="CL97" i="1"/>
  <c r="CL96" i="1" s="1"/>
  <c r="CL95" i="1" s="1"/>
  <c r="CL94" i="1" s="1"/>
  <c r="CL93" i="1" s="1"/>
  <c r="CL92" i="1" s="1"/>
  <c r="CL91" i="1" s="1"/>
  <c r="CL90" i="1" s="1"/>
  <c r="CL89" i="1" s="1"/>
  <c r="CL88" i="1" s="1"/>
  <c r="CL87" i="1" s="1"/>
  <c r="CL86" i="1" s="1"/>
  <c r="CL85" i="1" s="1"/>
  <c r="CL84" i="1" s="1"/>
  <c r="CL83" i="1" s="1"/>
  <c r="CL82" i="1" s="1"/>
  <c r="CL81" i="1" s="1"/>
  <c r="CL80" i="1" s="1"/>
  <c r="CL79" i="1" s="1"/>
  <c r="CL78" i="1" s="1"/>
  <c r="CL77" i="1" s="1"/>
  <c r="CL76" i="1" s="1"/>
  <c r="CL75" i="1" s="1"/>
  <c r="CL74" i="1" s="1"/>
  <c r="CL73" i="1" s="1"/>
  <c r="CL72" i="1" s="1"/>
  <c r="CL71" i="1" s="1"/>
  <c r="CL70" i="1" s="1"/>
  <c r="CL69" i="1" s="1"/>
  <c r="CM97" i="1"/>
  <c r="CM96" i="1" s="1"/>
  <c r="CM95" i="1" s="1"/>
  <c r="CM94" i="1" s="1"/>
  <c r="CM93" i="1" s="1"/>
  <c r="CM92" i="1" s="1"/>
  <c r="CM91" i="1" s="1"/>
  <c r="CM90" i="1" s="1"/>
  <c r="CM89" i="1" s="1"/>
  <c r="CM88" i="1" s="1"/>
  <c r="CM87" i="1" s="1"/>
  <c r="CM86" i="1" s="1"/>
  <c r="CM85" i="1" s="1"/>
  <c r="CM84" i="1" s="1"/>
  <c r="CM83" i="1" s="1"/>
  <c r="CM82" i="1" s="1"/>
  <c r="CM81" i="1" s="1"/>
  <c r="CM80" i="1" s="1"/>
  <c r="CM79" i="1" s="1"/>
  <c r="CM78" i="1" s="1"/>
  <c r="CM77" i="1" s="1"/>
  <c r="CM76" i="1" s="1"/>
  <c r="CM75" i="1" s="1"/>
  <c r="CM74" i="1" s="1"/>
  <c r="CM73" i="1" s="1"/>
  <c r="CM72" i="1" s="1"/>
  <c r="CM71" i="1" s="1"/>
  <c r="CM70" i="1" s="1"/>
  <c r="CM69" i="1" s="1"/>
  <c r="CN97" i="1"/>
  <c r="CN96" i="1" s="1"/>
  <c r="CN95" i="1" s="1"/>
  <c r="CN94" i="1" s="1"/>
  <c r="CN93" i="1" s="1"/>
  <c r="CN92" i="1" s="1"/>
  <c r="CN91" i="1" s="1"/>
  <c r="CN90" i="1" s="1"/>
  <c r="CN89" i="1" s="1"/>
  <c r="CN88" i="1" s="1"/>
  <c r="CN87" i="1" s="1"/>
  <c r="CN86" i="1" s="1"/>
  <c r="CN85" i="1" s="1"/>
  <c r="CN84" i="1" s="1"/>
  <c r="CN83" i="1" s="1"/>
  <c r="CN82" i="1" s="1"/>
  <c r="CN81" i="1" s="1"/>
  <c r="CN80" i="1" s="1"/>
  <c r="CN79" i="1" s="1"/>
  <c r="CN78" i="1" s="1"/>
  <c r="CN77" i="1" s="1"/>
  <c r="CN76" i="1" s="1"/>
  <c r="CN75" i="1" s="1"/>
  <c r="CN74" i="1" s="1"/>
  <c r="CN73" i="1" s="1"/>
  <c r="CN72" i="1" s="1"/>
  <c r="CN71" i="1" s="1"/>
  <c r="CN70" i="1" s="1"/>
  <c r="CN69" i="1" s="1"/>
  <c r="CO97" i="1"/>
  <c r="CO96" i="1" s="1"/>
  <c r="CO95" i="1" s="1"/>
  <c r="CO94" i="1" s="1"/>
  <c r="CO93" i="1" s="1"/>
  <c r="CO92" i="1" s="1"/>
  <c r="CO91" i="1" s="1"/>
  <c r="CO90" i="1" s="1"/>
  <c r="CO89" i="1" s="1"/>
  <c r="CO88" i="1" s="1"/>
  <c r="CO87" i="1" s="1"/>
  <c r="CO86" i="1" s="1"/>
  <c r="CO85" i="1" s="1"/>
  <c r="CO84" i="1" s="1"/>
  <c r="CO83" i="1" s="1"/>
  <c r="CO82" i="1" s="1"/>
  <c r="CO81" i="1" s="1"/>
  <c r="CO80" i="1" s="1"/>
  <c r="CO79" i="1" s="1"/>
  <c r="CO78" i="1" s="1"/>
  <c r="CO77" i="1" s="1"/>
  <c r="CO76" i="1" s="1"/>
  <c r="CO75" i="1" s="1"/>
  <c r="CO74" i="1" s="1"/>
  <c r="CO73" i="1" s="1"/>
  <c r="CO72" i="1" s="1"/>
  <c r="CO71" i="1" s="1"/>
  <c r="CO70" i="1" s="1"/>
  <c r="CO69" i="1" s="1"/>
  <c r="CP97" i="1"/>
  <c r="CP96" i="1" s="1"/>
  <c r="CP95" i="1" s="1"/>
  <c r="CP94" i="1" s="1"/>
  <c r="CP93" i="1" s="1"/>
  <c r="CP92" i="1" s="1"/>
  <c r="CP91" i="1" s="1"/>
  <c r="CP90" i="1" s="1"/>
  <c r="CP89" i="1" s="1"/>
  <c r="CP88" i="1" s="1"/>
  <c r="CP87" i="1" s="1"/>
  <c r="CP86" i="1" s="1"/>
  <c r="CP85" i="1" s="1"/>
  <c r="CP84" i="1" s="1"/>
  <c r="CP83" i="1" s="1"/>
  <c r="CP82" i="1" s="1"/>
  <c r="CP81" i="1" s="1"/>
  <c r="CP80" i="1" s="1"/>
  <c r="CP79" i="1" s="1"/>
  <c r="CP78" i="1" s="1"/>
  <c r="CP77" i="1" s="1"/>
  <c r="CP76" i="1" s="1"/>
  <c r="CP75" i="1" s="1"/>
  <c r="CP74" i="1" s="1"/>
  <c r="CP73" i="1" s="1"/>
  <c r="CP72" i="1" s="1"/>
  <c r="CP71" i="1" s="1"/>
  <c r="CP70" i="1" s="1"/>
  <c r="CP69" i="1" s="1"/>
  <c r="CQ97" i="1"/>
  <c r="CQ96" i="1" s="1"/>
  <c r="CQ95" i="1" s="1"/>
  <c r="CQ94" i="1" s="1"/>
  <c r="CQ93" i="1" s="1"/>
  <c r="CQ92" i="1" s="1"/>
  <c r="CQ91" i="1" s="1"/>
  <c r="CQ90" i="1" s="1"/>
  <c r="CQ89" i="1" s="1"/>
  <c r="CQ88" i="1" s="1"/>
  <c r="CQ87" i="1" s="1"/>
  <c r="CQ86" i="1" s="1"/>
  <c r="CQ85" i="1" s="1"/>
  <c r="CQ84" i="1" s="1"/>
  <c r="CQ83" i="1" s="1"/>
  <c r="CQ82" i="1" s="1"/>
  <c r="CQ81" i="1" s="1"/>
  <c r="CQ80" i="1" s="1"/>
  <c r="CQ79" i="1" s="1"/>
  <c r="CQ78" i="1" s="1"/>
  <c r="CQ77" i="1" s="1"/>
  <c r="CQ76" i="1" s="1"/>
  <c r="CQ75" i="1" s="1"/>
  <c r="CQ74" i="1" s="1"/>
  <c r="CQ73" i="1" s="1"/>
  <c r="CQ72" i="1" s="1"/>
  <c r="CQ71" i="1" s="1"/>
  <c r="CQ70" i="1" s="1"/>
  <c r="CQ69" i="1" s="1"/>
  <c r="CR97" i="1"/>
  <c r="CR96" i="1" s="1"/>
  <c r="CR95" i="1" s="1"/>
  <c r="CR94" i="1" s="1"/>
  <c r="CR93" i="1" s="1"/>
  <c r="CR92" i="1" s="1"/>
  <c r="CR91" i="1" s="1"/>
  <c r="CR90" i="1" s="1"/>
  <c r="CR89" i="1" s="1"/>
  <c r="CR88" i="1" s="1"/>
  <c r="CR87" i="1" s="1"/>
  <c r="CR86" i="1" s="1"/>
  <c r="CR85" i="1" s="1"/>
  <c r="CR84" i="1" s="1"/>
  <c r="CR83" i="1" s="1"/>
  <c r="CR82" i="1" s="1"/>
  <c r="CR81" i="1" s="1"/>
  <c r="CR80" i="1" s="1"/>
  <c r="CR79" i="1" s="1"/>
  <c r="CR78" i="1" s="1"/>
  <c r="CR77" i="1" s="1"/>
  <c r="CR76" i="1" s="1"/>
  <c r="CR75" i="1" s="1"/>
  <c r="CR74" i="1" s="1"/>
  <c r="CR73" i="1" s="1"/>
  <c r="CR72" i="1" s="1"/>
  <c r="CR71" i="1" s="1"/>
  <c r="CR70" i="1" s="1"/>
  <c r="CR69" i="1" s="1"/>
  <c r="CS97" i="1"/>
  <c r="CT97" i="1"/>
  <c r="CU97" i="1"/>
  <c r="CV97" i="1"/>
  <c r="CW97" i="1"/>
  <c r="CW96" i="1" s="1"/>
  <c r="CW95" i="1" s="1"/>
  <c r="CW94" i="1" s="1"/>
  <c r="CW93" i="1" s="1"/>
  <c r="CW92" i="1" s="1"/>
  <c r="CW91" i="1" s="1"/>
  <c r="CW90" i="1" s="1"/>
  <c r="CW89" i="1" s="1"/>
  <c r="CW88" i="1" s="1"/>
  <c r="CW87" i="1" s="1"/>
  <c r="CW86" i="1" s="1"/>
  <c r="CW85" i="1" s="1"/>
  <c r="CW84" i="1" s="1"/>
  <c r="CW83" i="1" s="1"/>
  <c r="CW82" i="1" s="1"/>
  <c r="CW81" i="1" s="1"/>
  <c r="CW80" i="1" s="1"/>
  <c r="CW79" i="1" s="1"/>
  <c r="CW78" i="1" s="1"/>
  <c r="CW77" i="1" s="1"/>
  <c r="CW76" i="1" s="1"/>
  <c r="CW75" i="1" s="1"/>
  <c r="CW74" i="1" s="1"/>
  <c r="CW73" i="1" s="1"/>
  <c r="CW72" i="1" s="1"/>
  <c r="CW71" i="1" s="1"/>
  <c r="CW70" i="1" s="1"/>
  <c r="CW69" i="1" s="1"/>
  <c r="CX97" i="1"/>
  <c r="CX96" i="1" s="1"/>
  <c r="CX95" i="1" s="1"/>
  <c r="CX94" i="1" s="1"/>
  <c r="CX93" i="1" s="1"/>
  <c r="CX92" i="1" s="1"/>
  <c r="CX91" i="1" s="1"/>
  <c r="CX90" i="1" s="1"/>
  <c r="CX89" i="1" s="1"/>
  <c r="CX88" i="1" s="1"/>
  <c r="CX87" i="1" s="1"/>
  <c r="CX86" i="1" s="1"/>
  <c r="CX85" i="1" s="1"/>
  <c r="CX84" i="1" s="1"/>
  <c r="CX83" i="1" s="1"/>
  <c r="CX82" i="1" s="1"/>
  <c r="CX81" i="1" s="1"/>
  <c r="CX80" i="1" s="1"/>
  <c r="CX79" i="1" s="1"/>
  <c r="CX78" i="1" s="1"/>
  <c r="CX77" i="1" s="1"/>
  <c r="CX76" i="1" s="1"/>
  <c r="CX75" i="1" s="1"/>
  <c r="CX74" i="1" s="1"/>
  <c r="CX73" i="1" s="1"/>
  <c r="CX72" i="1" s="1"/>
  <c r="CX71" i="1" s="1"/>
  <c r="CX70" i="1" s="1"/>
  <c r="CY97" i="1"/>
  <c r="CY96" i="1" s="1"/>
  <c r="CY95" i="1" s="1"/>
  <c r="CY94" i="1" s="1"/>
  <c r="CY93" i="1" s="1"/>
  <c r="CY92" i="1" s="1"/>
  <c r="CY91" i="1" s="1"/>
  <c r="CY90" i="1" s="1"/>
  <c r="CY89" i="1" s="1"/>
  <c r="CY88" i="1" s="1"/>
  <c r="CY87" i="1" s="1"/>
  <c r="CY86" i="1" s="1"/>
  <c r="CY85" i="1" s="1"/>
  <c r="CY84" i="1" s="1"/>
  <c r="CY83" i="1" s="1"/>
  <c r="CY82" i="1" s="1"/>
  <c r="CY81" i="1" s="1"/>
  <c r="CY80" i="1" s="1"/>
  <c r="CY79" i="1" s="1"/>
  <c r="CY78" i="1" s="1"/>
  <c r="CY77" i="1" s="1"/>
  <c r="CY76" i="1" s="1"/>
  <c r="CY75" i="1" s="1"/>
  <c r="CY74" i="1" s="1"/>
  <c r="CY73" i="1" s="1"/>
  <c r="CY72" i="1" s="1"/>
  <c r="CY71" i="1" s="1"/>
  <c r="CY70" i="1" s="1"/>
  <c r="CY69" i="1" s="1"/>
  <c r="BW98" i="1"/>
  <c r="BX98" i="1"/>
  <c r="BY98" i="1"/>
  <c r="BZ98" i="1"/>
  <c r="CA98" i="1"/>
  <c r="CB98" i="1"/>
  <c r="CC98" i="1"/>
  <c r="CD98" i="1"/>
  <c r="CE98" i="1"/>
  <c r="CF98" i="1"/>
  <c r="CG98" i="1"/>
  <c r="CH98" i="1"/>
  <c r="CI98" i="1"/>
  <c r="CJ98" i="1"/>
  <c r="CK98" i="1"/>
  <c r="CL98" i="1"/>
  <c r="CM98" i="1"/>
  <c r="CN98" i="1"/>
  <c r="CO98" i="1"/>
  <c r="CP98" i="1"/>
  <c r="CQ98" i="1"/>
  <c r="CR98" i="1"/>
  <c r="CS98" i="1"/>
  <c r="CT98" i="1"/>
  <c r="CU98" i="1"/>
  <c r="CV98" i="1"/>
  <c r="CW98" i="1"/>
  <c r="CX98" i="1"/>
  <c r="CY98" i="1"/>
  <c r="BU98" i="1"/>
  <c r="BV98" i="1"/>
  <c r="BV35" i="1"/>
  <c r="AN69" i="1"/>
  <c r="AO36" i="1"/>
  <c r="CX69" i="1" l="1"/>
  <c r="BR69" i="1" l="1"/>
  <c r="BR70" i="1"/>
  <c r="BR71" i="1"/>
  <c r="BR72" i="1"/>
  <c r="BR73" i="1"/>
  <c r="BR74" i="1"/>
  <c r="BR75" i="1"/>
  <c r="BR76" i="1"/>
  <c r="BR77" i="1"/>
  <c r="BR78" i="1"/>
  <c r="BR79" i="1"/>
  <c r="BR80" i="1"/>
  <c r="BR81" i="1"/>
  <c r="BR82" i="1"/>
  <c r="BR83" i="1"/>
  <c r="BR84" i="1"/>
  <c r="BR85" i="1"/>
  <c r="BR86" i="1"/>
  <c r="BR87" i="1"/>
  <c r="BR88" i="1"/>
  <c r="BR89" i="1"/>
  <c r="BR90" i="1"/>
  <c r="BR91" i="1"/>
  <c r="BR92" i="1"/>
  <c r="BR93" i="1"/>
  <c r="BR94" i="1"/>
  <c r="BR95" i="1"/>
  <c r="BR96" i="1"/>
  <c r="BR97" i="1"/>
  <c r="BR98" i="1"/>
  <c r="BR9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DD36" i="1"/>
  <c r="AP36" i="1"/>
  <c r="AQ36" i="1"/>
  <c r="AR36" i="1"/>
  <c r="AS36" i="1"/>
  <c r="AT36" i="1"/>
  <c r="AU36" i="1"/>
  <c r="AV36" i="1"/>
  <c r="AW36" i="1"/>
  <c r="AX36" i="1"/>
  <c r="AY36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BP36" i="1"/>
  <c r="BQ36" i="1"/>
  <c r="BR36" i="1"/>
  <c r="AO37" i="1"/>
  <c r="DD37" i="1" s="1"/>
  <c r="AP37" i="1"/>
  <c r="AQ37" i="1"/>
  <c r="AR37" i="1"/>
  <c r="AS37" i="1"/>
  <c r="AT37" i="1"/>
  <c r="AU37" i="1"/>
  <c r="AV37" i="1"/>
  <c r="AW37" i="1"/>
  <c r="AX37" i="1"/>
  <c r="AY37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BP37" i="1"/>
  <c r="BQ37" i="1"/>
  <c r="BR37" i="1"/>
  <c r="AO38" i="1"/>
  <c r="DD38" i="1" s="1"/>
  <c r="AP38" i="1"/>
  <c r="AQ38" i="1"/>
  <c r="AR38" i="1"/>
  <c r="AS38" i="1"/>
  <c r="AT38" i="1"/>
  <c r="AU38" i="1"/>
  <c r="AV38" i="1"/>
  <c r="AW38" i="1"/>
  <c r="AX38" i="1"/>
  <c r="AY38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BQ38" i="1"/>
  <c r="BR38" i="1"/>
  <c r="AO39" i="1"/>
  <c r="AP39" i="1"/>
  <c r="AQ39" i="1"/>
  <c r="AR39" i="1"/>
  <c r="AS39" i="1"/>
  <c r="AT39" i="1"/>
  <c r="AU39" i="1"/>
  <c r="AV39" i="1"/>
  <c r="AW39" i="1"/>
  <c r="AX39" i="1"/>
  <c r="AY39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BP39" i="1"/>
  <c r="BQ39" i="1"/>
  <c r="BR39" i="1"/>
  <c r="AO40" i="1"/>
  <c r="DD40" i="1" s="1"/>
  <c r="AP40" i="1"/>
  <c r="AQ40" i="1"/>
  <c r="AR40" i="1"/>
  <c r="AS40" i="1"/>
  <c r="AT40" i="1"/>
  <c r="AU40" i="1"/>
  <c r="AV40" i="1"/>
  <c r="AW40" i="1"/>
  <c r="AX40" i="1"/>
  <c r="AY40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BP40" i="1"/>
  <c r="BQ40" i="1"/>
  <c r="BR40" i="1"/>
  <c r="AO41" i="1"/>
  <c r="DD41" i="1" s="1"/>
  <c r="AP41" i="1"/>
  <c r="AQ41" i="1"/>
  <c r="AR41" i="1"/>
  <c r="AS41" i="1"/>
  <c r="AT41" i="1"/>
  <c r="AU41" i="1"/>
  <c r="AV41" i="1"/>
  <c r="AW41" i="1"/>
  <c r="AX41" i="1"/>
  <c r="AY41" i="1"/>
  <c r="AZ41" i="1"/>
  <c r="BA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BO41" i="1"/>
  <c r="BP41" i="1"/>
  <c r="BQ41" i="1"/>
  <c r="BR41" i="1"/>
  <c r="AO42" i="1"/>
  <c r="DD42" i="1" s="1"/>
  <c r="AP42" i="1"/>
  <c r="AQ42" i="1"/>
  <c r="AR42" i="1"/>
  <c r="AS42" i="1"/>
  <c r="AT42" i="1"/>
  <c r="AU42" i="1"/>
  <c r="AV42" i="1"/>
  <c r="AW42" i="1"/>
  <c r="AX42" i="1"/>
  <c r="AY42" i="1"/>
  <c r="AZ42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BO42" i="1"/>
  <c r="BP42" i="1"/>
  <c r="BQ42" i="1"/>
  <c r="BR42" i="1"/>
  <c r="AO43" i="1"/>
  <c r="DD43" i="1" s="1"/>
  <c r="AP43" i="1"/>
  <c r="AQ43" i="1"/>
  <c r="AR43" i="1"/>
  <c r="AS43" i="1"/>
  <c r="AT43" i="1"/>
  <c r="AU43" i="1"/>
  <c r="AV43" i="1"/>
  <c r="AW43" i="1"/>
  <c r="AX43" i="1"/>
  <c r="AY43" i="1"/>
  <c r="AZ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BO43" i="1"/>
  <c r="BP43" i="1"/>
  <c r="BQ43" i="1"/>
  <c r="BR43" i="1"/>
  <c r="AO44" i="1"/>
  <c r="DD44" i="1" s="1"/>
  <c r="AP44" i="1"/>
  <c r="AQ44" i="1"/>
  <c r="AR44" i="1"/>
  <c r="AS44" i="1"/>
  <c r="AT44" i="1"/>
  <c r="AU44" i="1"/>
  <c r="AV44" i="1"/>
  <c r="AW44" i="1"/>
  <c r="AX44" i="1"/>
  <c r="AY44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BP44" i="1"/>
  <c r="BQ44" i="1"/>
  <c r="BR44" i="1"/>
  <c r="AO45" i="1"/>
  <c r="DD45" i="1" s="1"/>
  <c r="AP45" i="1"/>
  <c r="AQ45" i="1"/>
  <c r="AR45" i="1"/>
  <c r="AS45" i="1"/>
  <c r="AT45" i="1"/>
  <c r="AU45" i="1"/>
  <c r="AV45" i="1"/>
  <c r="AW45" i="1"/>
  <c r="AX45" i="1"/>
  <c r="AY45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BP45" i="1"/>
  <c r="BQ45" i="1"/>
  <c r="BR45" i="1"/>
  <c r="AO46" i="1"/>
  <c r="DD46" i="1" s="1"/>
  <c r="AP46" i="1"/>
  <c r="AQ46" i="1"/>
  <c r="AR46" i="1"/>
  <c r="AS46" i="1"/>
  <c r="AT46" i="1"/>
  <c r="AU46" i="1"/>
  <c r="AV46" i="1"/>
  <c r="AW46" i="1"/>
  <c r="AX46" i="1"/>
  <c r="AY46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AO47" i="1"/>
  <c r="DD47" i="1" s="1"/>
  <c r="AP47" i="1"/>
  <c r="AQ47" i="1"/>
  <c r="AR47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AO48" i="1"/>
  <c r="DD48" i="1" s="1"/>
  <c r="AP48" i="1"/>
  <c r="AQ48" i="1"/>
  <c r="AR48" i="1"/>
  <c r="AS48" i="1"/>
  <c r="AT48" i="1"/>
  <c r="AU48" i="1"/>
  <c r="AV48" i="1"/>
  <c r="AW48" i="1"/>
  <c r="AX48" i="1"/>
  <c r="AY48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BQ48" i="1"/>
  <c r="BR48" i="1"/>
  <c r="AO49" i="1"/>
  <c r="DD49" i="1" s="1"/>
  <c r="AP49" i="1"/>
  <c r="AQ49" i="1"/>
  <c r="AR49" i="1"/>
  <c r="AS49" i="1"/>
  <c r="AT49" i="1"/>
  <c r="AU49" i="1"/>
  <c r="AV49" i="1"/>
  <c r="AW49" i="1"/>
  <c r="AX49" i="1"/>
  <c r="AY49" i="1"/>
  <c r="AZ49" i="1"/>
  <c r="BA49" i="1"/>
  <c r="BB49" i="1"/>
  <c r="BC49" i="1"/>
  <c r="BD49" i="1"/>
  <c r="BE49" i="1"/>
  <c r="BF49" i="1"/>
  <c r="BG49" i="1"/>
  <c r="BH49" i="1"/>
  <c r="BI49" i="1"/>
  <c r="BJ49" i="1"/>
  <c r="BK49" i="1"/>
  <c r="BL49" i="1"/>
  <c r="BM49" i="1"/>
  <c r="BN49" i="1"/>
  <c r="BO49" i="1"/>
  <c r="BP49" i="1"/>
  <c r="BQ49" i="1"/>
  <c r="BR49" i="1"/>
  <c r="AO50" i="1"/>
  <c r="DD50" i="1" s="1"/>
  <c r="AP50" i="1"/>
  <c r="AQ50" i="1"/>
  <c r="AR50" i="1"/>
  <c r="AS50" i="1"/>
  <c r="AT50" i="1"/>
  <c r="AU50" i="1"/>
  <c r="AV50" i="1"/>
  <c r="AW50" i="1"/>
  <c r="AX50" i="1"/>
  <c r="AY50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BP50" i="1"/>
  <c r="BQ50" i="1"/>
  <c r="BR50" i="1"/>
  <c r="AO51" i="1"/>
  <c r="DD51" i="1" s="1"/>
  <c r="AP51" i="1"/>
  <c r="AQ51" i="1"/>
  <c r="AR51" i="1"/>
  <c r="AS51" i="1"/>
  <c r="AT51" i="1"/>
  <c r="AU51" i="1"/>
  <c r="AV51" i="1"/>
  <c r="AW51" i="1"/>
  <c r="AX51" i="1"/>
  <c r="AY51" i="1"/>
  <c r="AZ51" i="1"/>
  <c r="BA51" i="1"/>
  <c r="BB51" i="1"/>
  <c r="BC51" i="1"/>
  <c r="BD51" i="1"/>
  <c r="BE51" i="1"/>
  <c r="BF51" i="1"/>
  <c r="BG51" i="1"/>
  <c r="BH51" i="1"/>
  <c r="BI51" i="1"/>
  <c r="BJ51" i="1"/>
  <c r="BK51" i="1"/>
  <c r="BL51" i="1"/>
  <c r="BM51" i="1"/>
  <c r="BN51" i="1"/>
  <c r="BO51" i="1"/>
  <c r="BP51" i="1"/>
  <c r="BQ51" i="1"/>
  <c r="BR51" i="1"/>
  <c r="AO52" i="1"/>
  <c r="DD52" i="1" s="1"/>
  <c r="AP52" i="1"/>
  <c r="AQ52" i="1"/>
  <c r="AR52" i="1"/>
  <c r="AS52" i="1"/>
  <c r="AT52" i="1"/>
  <c r="AU52" i="1"/>
  <c r="AV52" i="1"/>
  <c r="AW52" i="1"/>
  <c r="AX52" i="1"/>
  <c r="AY52" i="1"/>
  <c r="AZ52" i="1"/>
  <c r="BA52" i="1"/>
  <c r="BB52" i="1"/>
  <c r="BC52" i="1"/>
  <c r="BD52" i="1"/>
  <c r="BE52" i="1"/>
  <c r="BF52" i="1"/>
  <c r="BG52" i="1"/>
  <c r="BH52" i="1"/>
  <c r="BI52" i="1"/>
  <c r="BJ52" i="1"/>
  <c r="BK52" i="1"/>
  <c r="BL52" i="1"/>
  <c r="BM52" i="1"/>
  <c r="BN52" i="1"/>
  <c r="BO52" i="1"/>
  <c r="BP52" i="1"/>
  <c r="BQ52" i="1"/>
  <c r="BR52" i="1"/>
  <c r="AO53" i="1"/>
  <c r="DD53" i="1" s="1"/>
  <c r="AP53" i="1"/>
  <c r="AQ53" i="1"/>
  <c r="AR53" i="1"/>
  <c r="AS53" i="1"/>
  <c r="AT53" i="1"/>
  <c r="AU53" i="1"/>
  <c r="AV53" i="1"/>
  <c r="AW53" i="1"/>
  <c r="AX53" i="1"/>
  <c r="AY53" i="1"/>
  <c r="AZ53" i="1"/>
  <c r="BA53" i="1"/>
  <c r="BB53" i="1"/>
  <c r="BC53" i="1"/>
  <c r="BD53" i="1"/>
  <c r="BE53" i="1"/>
  <c r="BF53" i="1"/>
  <c r="BG53" i="1"/>
  <c r="BH53" i="1"/>
  <c r="BI53" i="1"/>
  <c r="BJ53" i="1"/>
  <c r="BK53" i="1"/>
  <c r="BL53" i="1"/>
  <c r="BM53" i="1"/>
  <c r="BN53" i="1"/>
  <c r="BO53" i="1"/>
  <c r="BP53" i="1"/>
  <c r="BQ53" i="1"/>
  <c r="BR53" i="1"/>
  <c r="AO54" i="1"/>
  <c r="DD54" i="1" s="1"/>
  <c r="AP54" i="1"/>
  <c r="AQ54" i="1"/>
  <c r="AR54" i="1"/>
  <c r="AS54" i="1"/>
  <c r="AT54" i="1"/>
  <c r="AU54" i="1"/>
  <c r="AV54" i="1"/>
  <c r="AW54" i="1"/>
  <c r="AX54" i="1"/>
  <c r="AY54" i="1"/>
  <c r="AZ54" i="1"/>
  <c r="BA54" i="1"/>
  <c r="BB54" i="1"/>
  <c r="BC54" i="1"/>
  <c r="BD54" i="1"/>
  <c r="BE54" i="1"/>
  <c r="BF54" i="1"/>
  <c r="BG54" i="1"/>
  <c r="BH54" i="1"/>
  <c r="BI54" i="1"/>
  <c r="BJ54" i="1"/>
  <c r="BK54" i="1"/>
  <c r="BL54" i="1"/>
  <c r="BM54" i="1"/>
  <c r="BN54" i="1"/>
  <c r="BO54" i="1"/>
  <c r="BP54" i="1"/>
  <c r="BQ54" i="1"/>
  <c r="BR54" i="1"/>
  <c r="AO55" i="1"/>
  <c r="DD55" i="1" s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B55" i="1"/>
  <c r="BC55" i="1"/>
  <c r="BD55" i="1"/>
  <c r="BE55" i="1"/>
  <c r="BF55" i="1"/>
  <c r="BG55" i="1"/>
  <c r="BH55" i="1"/>
  <c r="BI55" i="1"/>
  <c r="BJ55" i="1"/>
  <c r="BK55" i="1"/>
  <c r="BL55" i="1"/>
  <c r="BM55" i="1"/>
  <c r="BN55" i="1"/>
  <c r="BO55" i="1"/>
  <c r="BP55" i="1"/>
  <c r="BQ55" i="1"/>
  <c r="BR55" i="1"/>
  <c r="AO56" i="1"/>
  <c r="DD56" i="1" s="1"/>
  <c r="AP56" i="1"/>
  <c r="AQ56" i="1"/>
  <c r="AR56" i="1"/>
  <c r="AS56" i="1"/>
  <c r="AT56" i="1"/>
  <c r="AU56" i="1"/>
  <c r="AV56" i="1"/>
  <c r="AW56" i="1"/>
  <c r="AX56" i="1"/>
  <c r="AY56" i="1"/>
  <c r="AZ56" i="1"/>
  <c r="BA56" i="1"/>
  <c r="BB56" i="1"/>
  <c r="BC56" i="1"/>
  <c r="BD56" i="1"/>
  <c r="BE56" i="1"/>
  <c r="BF56" i="1"/>
  <c r="BG56" i="1"/>
  <c r="BH56" i="1"/>
  <c r="BI56" i="1"/>
  <c r="BJ56" i="1"/>
  <c r="BK56" i="1"/>
  <c r="BL56" i="1"/>
  <c r="BM56" i="1"/>
  <c r="BN56" i="1"/>
  <c r="BO56" i="1"/>
  <c r="BP56" i="1"/>
  <c r="BQ56" i="1"/>
  <c r="BR56" i="1"/>
  <c r="AO57" i="1"/>
  <c r="DD57" i="1" s="1"/>
  <c r="AP57" i="1"/>
  <c r="AQ57" i="1"/>
  <c r="AR57" i="1"/>
  <c r="AS57" i="1"/>
  <c r="AT57" i="1"/>
  <c r="AU57" i="1"/>
  <c r="AV57" i="1"/>
  <c r="AW57" i="1"/>
  <c r="AX57" i="1"/>
  <c r="AY57" i="1"/>
  <c r="AZ57" i="1"/>
  <c r="BA57" i="1"/>
  <c r="BB57" i="1"/>
  <c r="BC57" i="1"/>
  <c r="BD57" i="1"/>
  <c r="BE57" i="1"/>
  <c r="BF57" i="1"/>
  <c r="BG57" i="1"/>
  <c r="BH57" i="1"/>
  <c r="BI57" i="1"/>
  <c r="BJ57" i="1"/>
  <c r="BK57" i="1"/>
  <c r="BL57" i="1"/>
  <c r="BM57" i="1"/>
  <c r="BN57" i="1"/>
  <c r="BO57" i="1"/>
  <c r="BP57" i="1"/>
  <c r="BQ57" i="1"/>
  <c r="BR57" i="1"/>
  <c r="AO58" i="1"/>
  <c r="DD58" i="1" s="1"/>
  <c r="AP58" i="1"/>
  <c r="AQ58" i="1"/>
  <c r="AR58" i="1"/>
  <c r="AS58" i="1"/>
  <c r="AT58" i="1"/>
  <c r="AU58" i="1"/>
  <c r="AV58" i="1"/>
  <c r="AW58" i="1"/>
  <c r="AX58" i="1"/>
  <c r="AY58" i="1"/>
  <c r="AZ58" i="1"/>
  <c r="BA58" i="1"/>
  <c r="BB58" i="1"/>
  <c r="BC58" i="1"/>
  <c r="BD58" i="1"/>
  <c r="BE58" i="1"/>
  <c r="BF58" i="1"/>
  <c r="BG58" i="1"/>
  <c r="BH58" i="1"/>
  <c r="BI58" i="1"/>
  <c r="BJ58" i="1"/>
  <c r="BK58" i="1"/>
  <c r="BL58" i="1"/>
  <c r="BM58" i="1"/>
  <c r="BN58" i="1"/>
  <c r="BO58" i="1"/>
  <c r="BP58" i="1"/>
  <c r="BQ58" i="1"/>
  <c r="BR58" i="1"/>
  <c r="AO59" i="1"/>
  <c r="DD59" i="1" s="1"/>
  <c r="AP59" i="1"/>
  <c r="AQ59" i="1"/>
  <c r="AR59" i="1"/>
  <c r="AS59" i="1"/>
  <c r="AT59" i="1"/>
  <c r="AU59" i="1"/>
  <c r="AV59" i="1"/>
  <c r="AW59" i="1"/>
  <c r="AX59" i="1"/>
  <c r="AY59" i="1"/>
  <c r="AZ59" i="1"/>
  <c r="BA59" i="1"/>
  <c r="BB59" i="1"/>
  <c r="BC59" i="1"/>
  <c r="BD59" i="1"/>
  <c r="BE59" i="1"/>
  <c r="BF59" i="1"/>
  <c r="BG59" i="1"/>
  <c r="BH59" i="1"/>
  <c r="BI59" i="1"/>
  <c r="BJ59" i="1"/>
  <c r="BK59" i="1"/>
  <c r="BL59" i="1"/>
  <c r="BM59" i="1"/>
  <c r="BN59" i="1"/>
  <c r="BO59" i="1"/>
  <c r="BP59" i="1"/>
  <c r="BQ59" i="1"/>
  <c r="BR59" i="1"/>
  <c r="AO60" i="1"/>
  <c r="DD60" i="1" s="1"/>
  <c r="AP60" i="1"/>
  <c r="AQ60" i="1"/>
  <c r="AR60" i="1"/>
  <c r="AS60" i="1"/>
  <c r="AT60" i="1"/>
  <c r="AU60" i="1"/>
  <c r="AV60" i="1"/>
  <c r="AW60" i="1"/>
  <c r="AX60" i="1"/>
  <c r="AY60" i="1"/>
  <c r="AZ60" i="1"/>
  <c r="BA60" i="1"/>
  <c r="BB60" i="1"/>
  <c r="BC60" i="1"/>
  <c r="BD60" i="1"/>
  <c r="BE60" i="1"/>
  <c r="BF60" i="1"/>
  <c r="BG60" i="1"/>
  <c r="BH60" i="1"/>
  <c r="BI60" i="1"/>
  <c r="BJ60" i="1"/>
  <c r="BK60" i="1"/>
  <c r="BL60" i="1"/>
  <c r="BM60" i="1"/>
  <c r="BN60" i="1"/>
  <c r="BO60" i="1"/>
  <c r="BP60" i="1"/>
  <c r="BQ60" i="1"/>
  <c r="BR60" i="1"/>
  <c r="AO61" i="1"/>
  <c r="DD61" i="1" s="1"/>
  <c r="AP61" i="1"/>
  <c r="AQ61" i="1"/>
  <c r="AR61" i="1"/>
  <c r="AS61" i="1"/>
  <c r="AT61" i="1"/>
  <c r="AU61" i="1"/>
  <c r="AV61" i="1"/>
  <c r="AW61" i="1"/>
  <c r="AX61" i="1"/>
  <c r="AY61" i="1"/>
  <c r="AZ61" i="1"/>
  <c r="BA61" i="1"/>
  <c r="BB61" i="1"/>
  <c r="BC61" i="1"/>
  <c r="BD61" i="1"/>
  <c r="BE61" i="1"/>
  <c r="BF61" i="1"/>
  <c r="BG61" i="1"/>
  <c r="BH61" i="1"/>
  <c r="BI61" i="1"/>
  <c r="BJ61" i="1"/>
  <c r="BK61" i="1"/>
  <c r="BL61" i="1"/>
  <c r="BM61" i="1"/>
  <c r="BN61" i="1"/>
  <c r="BO61" i="1"/>
  <c r="BP61" i="1"/>
  <c r="BQ61" i="1"/>
  <c r="BR61" i="1"/>
  <c r="AO62" i="1"/>
  <c r="DD62" i="1" s="1"/>
  <c r="AP62" i="1"/>
  <c r="AQ62" i="1"/>
  <c r="AR62" i="1"/>
  <c r="AS62" i="1"/>
  <c r="AT62" i="1"/>
  <c r="AU62" i="1"/>
  <c r="AV62" i="1"/>
  <c r="AW62" i="1"/>
  <c r="AX62" i="1"/>
  <c r="AY62" i="1"/>
  <c r="AZ62" i="1"/>
  <c r="BA62" i="1"/>
  <c r="BB62" i="1"/>
  <c r="BC62" i="1"/>
  <c r="BD62" i="1"/>
  <c r="BE62" i="1"/>
  <c r="BF62" i="1"/>
  <c r="BG62" i="1"/>
  <c r="BH62" i="1"/>
  <c r="BI62" i="1"/>
  <c r="BJ62" i="1"/>
  <c r="BK62" i="1"/>
  <c r="BL62" i="1"/>
  <c r="BM62" i="1"/>
  <c r="BN62" i="1"/>
  <c r="BO62" i="1"/>
  <c r="BP62" i="1"/>
  <c r="BQ62" i="1"/>
  <c r="BR62" i="1"/>
  <c r="AO63" i="1"/>
  <c r="DD63" i="1" s="1"/>
  <c r="AP63" i="1"/>
  <c r="AQ63" i="1"/>
  <c r="AR63" i="1"/>
  <c r="AS63" i="1"/>
  <c r="AT63" i="1"/>
  <c r="AU63" i="1"/>
  <c r="AV63" i="1"/>
  <c r="AW63" i="1"/>
  <c r="AX63" i="1"/>
  <c r="AY63" i="1"/>
  <c r="AZ63" i="1"/>
  <c r="BA63" i="1"/>
  <c r="BB63" i="1"/>
  <c r="BC63" i="1"/>
  <c r="BD63" i="1"/>
  <c r="BE63" i="1"/>
  <c r="BF63" i="1"/>
  <c r="BG63" i="1"/>
  <c r="BH63" i="1"/>
  <c r="BI63" i="1"/>
  <c r="BJ63" i="1"/>
  <c r="BK63" i="1"/>
  <c r="BL63" i="1"/>
  <c r="BM63" i="1"/>
  <c r="BN63" i="1"/>
  <c r="BO63" i="1"/>
  <c r="BP63" i="1"/>
  <c r="BQ63" i="1"/>
  <c r="BR63" i="1"/>
  <c r="AO64" i="1"/>
  <c r="DD64" i="1" s="1"/>
  <c r="AP64" i="1"/>
  <c r="AQ64" i="1"/>
  <c r="AR64" i="1"/>
  <c r="AS64" i="1"/>
  <c r="AT64" i="1"/>
  <c r="AU64" i="1"/>
  <c r="AV64" i="1"/>
  <c r="AW64" i="1"/>
  <c r="AX64" i="1"/>
  <c r="AY64" i="1"/>
  <c r="AZ64" i="1"/>
  <c r="BA64" i="1"/>
  <c r="BB64" i="1"/>
  <c r="BC64" i="1"/>
  <c r="BD64" i="1"/>
  <c r="BE64" i="1"/>
  <c r="BF64" i="1"/>
  <c r="BG64" i="1"/>
  <c r="BH64" i="1"/>
  <c r="BI64" i="1"/>
  <c r="BJ64" i="1"/>
  <c r="BK64" i="1"/>
  <c r="BL64" i="1"/>
  <c r="BM64" i="1"/>
  <c r="BN64" i="1"/>
  <c r="BO64" i="1"/>
  <c r="BP64" i="1"/>
  <c r="BQ64" i="1"/>
  <c r="BR64" i="1"/>
  <c r="AO65" i="1"/>
  <c r="DD65" i="1" s="1"/>
  <c r="AP65" i="1"/>
  <c r="AQ65" i="1"/>
  <c r="AR65" i="1"/>
  <c r="AS65" i="1"/>
  <c r="AT65" i="1"/>
  <c r="AU65" i="1"/>
  <c r="AV65" i="1"/>
  <c r="AW65" i="1"/>
  <c r="AX65" i="1"/>
  <c r="AY65" i="1"/>
  <c r="AZ65" i="1"/>
  <c r="BA65" i="1"/>
  <c r="BB65" i="1"/>
  <c r="BC65" i="1"/>
  <c r="BD65" i="1"/>
  <c r="BE65" i="1"/>
  <c r="BF65" i="1"/>
  <c r="BG65" i="1"/>
  <c r="BH65" i="1"/>
  <c r="BI65" i="1"/>
  <c r="BJ65" i="1"/>
  <c r="BK65" i="1"/>
  <c r="BL65" i="1"/>
  <c r="BM65" i="1"/>
  <c r="BN65" i="1"/>
  <c r="BO65" i="1"/>
  <c r="BP65" i="1"/>
  <c r="BQ65" i="1"/>
  <c r="BR65" i="1"/>
  <c r="AP35" i="1"/>
  <c r="AQ35" i="1"/>
  <c r="AR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BP35" i="1"/>
  <c r="BQ35" i="1"/>
  <c r="BR35" i="1"/>
  <c r="AO35" i="1"/>
  <c r="DD35" i="1" s="1"/>
  <c r="DD39" i="1"/>
  <c r="DC36" i="1"/>
  <c r="DC37" i="1"/>
  <c r="DC38" i="1"/>
  <c r="DC39" i="1"/>
  <c r="DC40" i="1"/>
  <c r="DC41" i="1"/>
  <c r="DC42" i="1"/>
  <c r="DC43" i="1"/>
  <c r="DC44" i="1"/>
  <c r="DC45" i="1"/>
  <c r="DC46" i="1"/>
  <c r="DC47" i="1"/>
  <c r="DC48" i="1"/>
  <c r="DC49" i="1"/>
  <c r="DC50" i="1"/>
  <c r="DC51" i="1"/>
  <c r="DC52" i="1"/>
  <c r="DC53" i="1"/>
  <c r="DC54" i="1"/>
  <c r="DC55" i="1"/>
  <c r="DC56" i="1"/>
  <c r="DC57" i="1"/>
  <c r="DC58" i="1"/>
  <c r="DC59" i="1"/>
  <c r="DC60" i="1"/>
  <c r="DC61" i="1"/>
  <c r="DC62" i="1"/>
  <c r="DC63" i="1"/>
  <c r="DC64" i="1"/>
  <c r="DC65" i="1"/>
  <c r="DC35" i="1"/>
  <c r="BV36" i="1"/>
  <c r="BW36" i="1" s="1"/>
  <c r="BX36" i="1" s="1"/>
  <c r="BY36" i="1" s="1"/>
  <c r="BZ36" i="1" s="1"/>
  <c r="CA36" i="1" s="1"/>
  <c r="CB36" i="1" s="1"/>
  <c r="CC36" i="1" s="1"/>
  <c r="CD36" i="1" s="1"/>
  <c r="CE36" i="1" s="1"/>
  <c r="CF36" i="1" s="1"/>
  <c r="CG36" i="1" s="1"/>
  <c r="CH36" i="1" s="1"/>
  <c r="CI36" i="1" s="1"/>
  <c r="CJ36" i="1" s="1"/>
  <c r="CK36" i="1" s="1"/>
  <c r="CL36" i="1" s="1"/>
  <c r="CM36" i="1" s="1"/>
  <c r="CN36" i="1" s="1"/>
  <c r="CO36" i="1" s="1"/>
  <c r="CP36" i="1" s="1"/>
  <c r="CQ36" i="1" s="1"/>
  <c r="CR36" i="1" s="1"/>
  <c r="CS36" i="1" s="1"/>
  <c r="CT36" i="1" s="1"/>
  <c r="CU36" i="1" s="1"/>
  <c r="CV36" i="1" s="1"/>
  <c r="CW36" i="1" s="1"/>
  <c r="CX36" i="1" s="1"/>
  <c r="CY36" i="1" s="1"/>
  <c r="BV37" i="1"/>
  <c r="BW37" i="1" s="1"/>
  <c r="BX37" i="1" s="1"/>
  <c r="BY37" i="1" s="1"/>
  <c r="BZ37" i="1" s="1"/>
  <c r="CA37" i="1" s="1"/>
  <c r="CB37" i="1" s="1"/>
  <c r="CC37" i="1" s="1"/>
  <c r="CD37" i="1" s="1"/>
  <c r="CE37" i="1" s="1"/>
  <c r="CF37" i="1" s="1"/>
  <c r="CG37" i="1" s="1"/>
  <c r="CH37" i="1" s="1"/>
  <c r="CI37" i="1" s="1"/>
  <c r="CJ37" i="1" s="1"/>
  <c r="CK37" i="1" s="1"/>
  <c r="CL37" i="1" s="1"/>
  <c r="CM37" i="1" s="1"/>
  <c r="CN37" i="1" s="1"/>
  <c r="CO37" i="1" s="1"/>
  <c r="CP37" i="1" s="1"/>
  <c r="CQ37" i="1" s="1"/>
  <c r="CR37" i="1" s="1"/>
  <c r="CS37" i="1" s="1"/>
  <c r="CT37" i="1" s="1"/>
  <c r="CU37" i="1" s="1"/>
  <c r="CV37" i="1" s="1"/>
  <c r="CW37" i="1" s="1"/>
  <c r="CX37" i="1" s="1"/>
  <c r="CY37" i="1" s="1"/>
  <c r="BV38" i="1"/>
  <c r="BW38" i="1" s="1"/>
  <c r="BX38" i="1" s="1"/>
  <c r="BY38" i="1" s="1"/>
  <c r="BZ38" i="1" s="1"/>
  <c r="CA38" i="1" s="1"/>
  <c r="CB38" i="1" s="1"/>
  <c r="CC38" i="1" s="1"/>
  <c r="CD38" i="1" s="1"/>
  <c r="CE38" i="1" s="1"/>
  <c r="CF38" i="1" s="1"/>
  <c r="CG38" i="1" s="1"/>
  <c r="CH38" i="1" s="1"/>
  <c r="CI38" i="1" s="1"/>
  <c r="CJ38" i="1" s="1"/>
  <c r="CK38" i="1" s="1"/>
  <c r="CL38" i="1" s="1"/>
  <c r="CM38" i="1" s="1"/>
  <c r="CN38" i="1" s="1"/>
  <c r="CO38" i="1" s="1"/>
  <c r="CP38" i="1" s="1"/>
  <c r="CQ38" i="1" s="1"/>
  <c r="CR38" i="1" s="1"/>
  <c r="CS38" i="1" s="1"/>
  <c r="CT38" i="1" s="1"/>
  <c r="CU38" i="1" s="1"/>
  <c r="CV38" i="1" s="1"/>
  <c r="CW38" i="1" s="1"/>
  <c r="CX38" i="1" s="1"/>
  <c r="CY38" i="1" s="1"/>
  <c r="BV39" i="1"/>
  <c r="BW39" i="1" s="1"/>
  <c r="BX39" i="1" s="1"/>
  <c r="BY39" i="1" s="1"/>
  <c r="BZ39" i="1" s="1"/>
  <c r="CA39" i="1" s="1"/>
  <c r="CB39" i="1" s="1"/>
  <c r="CC39" i="1" s="1"/>
  <c r="CD39" i="1" s="1"/>
  <c r="CE39" i="1" s="1"/>
  <c r="CF39" i="1" s="1"/>
  <c r="CG39" i="1" s="1"/>
  <c r="CH39" i="1" s="1"/>
  <c r="CI39" i="1" s="1"/>
  <c r="CJ39" i="1" s="1"/>
  <c r="CK39" i="1" s="1"/>
  <c r="CL39" i="1" s="1"/>
  <c r="CM39" i="1" s="1"/>
  <c r="CN39" i="1" s="1"/>
  <c r="CO39" i="1" s="1"/>
  <c r="CP39" i="1" s="1"/>
  <c r="CQ39" i="1" s="1"/>
  <c r="CR39" i="1" s="1"/>
  <c r="CS39" i="1" s="1"/>
  <c r="CT39" i="1" s="1"/>
  <c r="CU39" i="1" s="1"/>
  <c r="CV39" i="1" s="1"/>
  <c r="CW39" i="1" s="1"/>
  <c r="CX39" i="1" s="1"/>
  <c r="CY39" i="1" s="1"/>
  <c r="BV40" i="1"/>
  <c r="BW40" i="1" s="1"/>
  <c r="BX40" i="1" s="1"/>
  <c r="BY40" i="1" s="1"/>
  <c r="BZ40" i="1" s="1"/>
  <c r="CA40" i="1" s="1"/>
  <c r="CB40" i="1" s="1"/>
  <c r="CC40" i="1" s="1"/>
  <c r="CD40" i="1" s="1"/>
  <c r="CE40" i="1" s="1"/>
  <c r="CF40" i="1" s="1"/>
  <c r="CG40" i="1" s="1"/>
  <c r="CH40" i="1" s="1"/>
  <c r="CI40" i="1" s="1"/>
  <c r="CJ40" i="1" s="1"/>
  <c r="CK40" i="1" s="1"/>
  <c r="CL40" i="1" s="1"/>
  <c r="CM40" i="1" s="1"/>
  <c r="CN40" i="1" s="1"/>
  <c r="CO40" i="1" s="1"/>
  <c r="CP40" i="1" s="1"/>
  <c r="CQ40" i="1" s="1"/>
  <c r="CR40" i="1" s="1"/>
  <c r="CS40" i="1" s="1"/>
  <c r="CT40" i="1" s="1"/>
  <c r="CU40" i="1" s="1"/>
  <c r="CV40" i="1" s="1"/>
  <c r="CW40" i="1" s="1"/>
  <c r="CX40" i="1" s="1"/>
  <c r="CY40" i="1" s="1"/>
  <c r="BV41" i="1"/>
  <c r="BW41" i="1" s="1"/>
  <c r="BX41" i="1" s="1"/>
  <c r="BY41" i="1" s="1"/>
  <c r="BZ41" i="1" s="1"/>
  <c r="CA41" i="1" s="1"/>
  <c r="CB41" i="1" s="1"/>
  <c r="CC41" i="1" s="1"/>
  <c r="CD41" i="1" s="1"/>
  <c r="CE41" i="1" s="1"/>
  <c r="CF41" i="1" s="1"/>
  <c r="CG41" i="1" s="1"/>
  <c r="CH41" i="1" s="1"/>
  <c r="CI41" i="1" s="1"/>
  <c r="CJ41" i="1" s="1"/>
  <c r="CK41" i="1" s="1"/>
  <c r="CL41" i="1" s="1"/>
  <c r="CM41" i="1" s="1"/>
  <c r="CN41" i="1" s="1"/>
  <c r="CO41" i="1" s="1"/>
  <c r="CP41" i="1" s="1"/>
  <c r="CQ41" i="1" s="1"/>
  <c r="CR41" i="1" s="1"/>
  <c r="CS41" i="1" s="1"/>
  <c r="CT41" i="1" s="1"/>
  <c r="CU41" i="1" s="1"/>
  <c r="CV41" i="1" s="1"/>
  <c r="CW41" i="1" s="1"/>
  <c r="CX41" i="1" s="1"/>
  <c r="CY41" i="1" s="1"/>
  <c r="BV42" i="1"/>
  <c r="BW42" i="1" s="1"/>
  <c r="BX42" i="1" s="1"/>
  <c r="BY42" i="1" s="1"/>
  <c r="BZ42" i="1" s="1"/>
  <c r="CA42" i="1" s="1"/>
  <c r="CB42" i="1" s="1"/>
  <c r="CC42" i="1" s="1"/>
  <c r="CD42" i="1" s="1"/>
  <c r="CE42" i="1" s="1"/>
  <c r="CF42" i="1" s="1"/>
  <c r="CG42" i="1" s="1"/>
  <c r="CH42" i="1" s="1"/>
  <c r="CI42" i="1" s="1"/>
  <c r="CJ42" i="1" s="1"/>
  <c r="CK42" i="1" s="1"/>
  <c r="CL42" i="1" s="1"/>
  <c r="CM42" i="1" s="1"/>
  <c r="CN42" i="1" s="1"/>
  <c r="CO42" i="1" s="1"/>
  <c r="CP42" i="1" s="1"/>
  <c r="CQ42" i="1" s="1"/>
  <c r="CR42" i="1" s="1"/>
  <c r="CS42" i="1" s="1"/>
  <c r="CT42" i="1" s="1"/>
  <c r="CU42" i="1" s="1"/>
  <c r="CV42" i="1" s="1"/>
  <c r="CW42" i="1" s="1"/>
  <c r="CX42" i="1" s="1"/>
  <c r="CY42" i="1" s="1"/>
  <c r="BV43" i="1"/>
  <c r="BW43" i="1" s="1"/>
  <c r="BX43" i="1" s="1"/>
  <c r="BY43" i="1" s="1"/>
  <c r="BZ43" i="1" s="1"/>
  <c r="CA43" i="1" s="1"/>
  <c r="CB43" i="1" s="1"/>
  <c r="CC43" i="1" s="1"/>
  <c r="CD43" i="1" s="1"/>
  <c r="CE43" i="1" s="1"/>
  <c r="CF43" i="1" s="1"/>
  <c r="CG43" i="1" s="1"/>
  <c r="CH43" i="1" s="1"/>
  <c r="CI43" i="1" s="1"/>
  <c r="CJ43" i="1" s="1"/>
  <c r="CK43" i="1" s="1"/>
  <c r="CL43" i="1" s="1"/>
  <c r="CM43" i="1" s="1"/>
  <c r="CN43" i="1" s="1"/>
  <c r="CO43" i="1" s="1"/>
  <c r="CP43" i="1" s="1"/>
  <c r="CQ43" i="1" s="1"/>
  <c r="CR43" i="1" s="1"/>
  <c r="CS43" i="1" s="1"/>
  <c r="CT43" i="1" s="1"/>
  <c r="CU43" i="1" s="1"/>
  <c r="CV43" i="1" s="1"/>
  <c r="CW43" i="1" s="1"/>
  <c r="CX43" i="1" s="1"/>
  <c r="CY43" i="1" s="1"/>
  <c r="BV44" i="1"/>
  <c r="BW44" i="1" s="1"/>
  <c r="BX44" i="1" s="1"/>
  <c r="BY44" i="1" s="1"/>
  <c r="BZ44" i="1" s="1"/>
  <c r="CA44" i="1" s="1"/>
  <c r="CB44" i="1" s="1"/>
  <c r="CC44" i="1" s="1"/>
  <c r="CD44" i="1" s="1"/>
  <c r="CE44" i="1" s="1"/>
  <c r="CF44" i="1" s="1"/>
  <c r="CG44" i="1" s="1"/>
  <c r="CH44" i="1" s="1"/>
  <c r="CI44" i="1" s="1"/>
  <c r="CJ44" i="1" s="1"/>
  <c r="CK44" i="1" s="1"/>
  <c r="CL44" i="1" s="1"/>
  <c r="CM44" i="1" s="1"/>
  <c r="CN44" i="1" s="1"/>
  <c r="CO44" i="1" s="1"/>
  <c r="CP44" i="1" s="1"/>
  <c r="CQ44" i="1" s="1"/>
  <c r="CR44" i="1" s="1"/>
  <c r="CS44" i="1" s="1"/>
  <c r="CT44" i="1" s="1"/>
  <c r="CU44" i="1" s="1"/>
  <c r="CV44" i="1" s="1"/>
  <c r="CW44" i="1" s="1"/>
  <c r="CX44" i="1" s="1"/>
  <c r="CY44" i="1" s="1"/>
  <c r="BV45" i="1"/>
  <c r="BW45" i="1" s="1"/>
  <c r="BX45" i="1" s="1"/>
  <c r="BY45" i="1" s="1"/>
  <c r="BZ45" i="1" s="1"/>
  <c r="CA45" i="1" s="1"/>
  <c r="CB45" i="1" s="1"/>
  <c r="CC45" i="1" s="1"/>
  <c r="CD45" i="1" s="1"/>
  <c r="CE45" i="1" s="1"/>
  <c r="CF45" i="1" s="1"/>
  <c r="CG45" i="1" s="1"/>
  <c r="CH45" i="1" s="1"/>
  <c r="CI45" i="1" s="1"/>
  <c r="CJ45" i="1" s="1"/>
  <c r="CK45" i="1" s="1"/>
  <c r="CL45" i="1" s="1"/>
  <c r="CM45" i="1" s="1"/>
  <c r="CN45" i="1" s="1"/>
  <c r="CO45" i="1" s="1"/>
  <c r="CP45" i="1" s="1"/>
  <c r="CQ45" i="1" s="1"/>
  <c r="CR45" i="1" s="1"/>
  <c r="CS45" i="1" s="1"/>
  <c r="CT45" i="1" s="1"/>
  <c r="CU45" i="1" s="1"/>
  <c r="CV45" i="1" s="1"/>
  <c r="CW45" i="1" s="1"/>
  <c r="CX45" i="1" s="1"/>
  <c r="CY45" i="1" s="1"/>
  <c r="BV46" i="1"/>
  <c r="BW46" i="1" s="1"/>
  <c r="BX46" i="1" s="1"/>
  <c r="BY46" i="1" s="1"/>
  <c r="BZ46" i="1" s="1"/>
  <c r="CA46" i="1" s="1"/>
  <c r="CB46" i="1" s="1"/>
  <c r="CC46" i="1" s="1"/>
  <c r="CD46" i="1" s="1"/>
  <c r="CE46" i="1" s="1"/>
  <c r="CF46" i="1" s="1"/>
  <c r="CG46" i="1" s="1"/>
  <c r="CH46" i="1" s="1"/>
  <c r="CI46" i="1" s="1"/>
  <c r="CJ46" i="1" s="1"/>
  <c r="CK46" i="1" s="1"/>
  <c r="CL46" i="1" s="1"/>
  <c r="CM46" i="1" s="1"/>
  <c r="CN46" i="1" s="1"/>
  <c r="CO46" i="1" s="1"/>
  <c r="CP46" i="1" s="1"/>
  <c r="CQ46" i="1" s="1"/>
  <c r="CR46" i="1" s="1"/>
  <c r="CS46" i="1" s="1"/>
  <c r="CT46" i="1" s="1"/>
  <c r="CU46" i="1" s="1"/>
  <c r="CV46" i="1" s="1"/>
  <c r="CW46" i="1" s="1"/>
  <c r="CX46" i="1" s="1"/>
  <c r="CY46" i="1" s="1"/>
  <c r="BV47" i="1"/>
  <c r="BW47" i="1" s="1"/>
  <c r="BX47" i="1" s="1"/>
  <c r="BY47" i="1" s="1"/>
  <c r="BZ47" i="1" s="1"/>
  <c r="CA47" i="1" s="1"/>
  <c r="CB47" i="1" s="1"/>
  <c r="CC47" i="1" s="1"/>
  <c r="CD47" i="1" s="1"/>
  <c r="CE47" i="1" s="1"/>
  <c r="CF47" i="1" s="1"/>
  <c r="CG47" i="1" s="1"/>
  <c r="CH47" i="1" s="1"/>
  <c r="CI47" i="1" s="1"/>
  <c r="CJ47" i="1" s="1"/>
  <c r="CK47" i="1" s="1"/>
  <c r="CL47" i="1" s="1"/>
  <c r="CM47" i="1" s="1"/>
  <c r="CN47" i="1" s="1"/>
  <c r="CO47" i="1" s="1"/>
  <c r="CP47" i="1" s="1"/>
  <c r="CQ47" i="1" s="1"/>
  <c r="CR47" i="1" s="1"/>
  <c r="CS47" i="1" s="1"/>
  <c r="CT47" i="1" s="1"/>
  <c r="CU47" i="1" s="1"/>
  <c r="CV47" i="1" s="1"/>
  <c r="CW47" i="1" s="1"/>
  <c r="CX47" i="1" s="1"/>
  <c r="CY47" i="1" s="1"/>
  <c r="BV48" i="1"/>
  <c r="BW48" i="1" s="1"/>
  <c r="BX48" i="1" s="1"/>
  <c r="BY48" i="1" s="1"/>
  <c r="BZ48" i="1" s="1"/>
  <c r="CA48" i="1" s="1"/>
  <c r="CB48" i="1" s="1"/>
  <c r="CC48" i="1" s="1"/>
  <c r="CD48" i="1" s="1"/>
  <c r="CE48" i="1" s="1"/>
  <c r="CF48" i="1" s="1"/>
  <c r="CG48" i="1" s="1"/>
  <c r="CH48" i="1" s="1"/>
  <c r="CI48" i="1" s="1"/>
  <c r="CJ48" i="1" s="1"/>
  <c r="CK48" i="1" s="1"/>
  <c r="CL48" i="1" s="1"/>
  <c r="CM48" i="1" s="1"/>
  <c r="CN48" i="1" s="1"/>
  <c r="CO48" i="1" s="1"/>
  <c r="CP48" i="1" s="1"/>
  <c r="CQ48" i="1" s="1"/>
  <c r="CR48" i="1" s="1"/>
  <c r="CS48" i="1" s="1"/>
  <c r="CT48" i="1" s="1"/>
  <c r="CU48" i="1" s="1"/>
  <c r="CV48" i="1" s="1"/>
  <c r="CW48" i="1" s="1"/>
  <c r="CX48" i="1" s="1"/>
  <c r="CY48" i="1" s="1"/>
  <c r="BV49" i="1"/>
  <c r="BW49" i="1" s="1"/>
  <c r="BX49" i="1" s="1"/>
  <c r="BY49" i="1" s="1"/>
  <c r="BZ49" i="1" s="1"/>
  <c r="CA49" i="1" s="1"/>
  <c r="CB49" i="1" s="1"/>
  <c r="CC49" i="1" s="1"/>
  <c r="CD49" i="1" s="1"/>
  <c r="CE49" i="1" s="1"/>
  <c r="CF49" i="1" s="1"/>
  <c r="CG49" i="1" s="1"/>
  <c r="CH49" i="1" s="1"/>
  <c r="CI49" i="1" s="1"/>
  <c r="CJ49" i="1" s="1"/>
  <c r="CK49" i="1" s="1"/>
  <c r="CL49" i="1" s="1"/>
  <c r="CM49" i="1" s="1"/>
  <c r="CN49" i="1" s="1"/>
  <c r="CO49" i="1" s="1"/>
  <c r="CP49" i="1" s="1"/>
  <c r="CQ49" i="1" s="1"/>
  <c r="CR49" i="1" s="1"/>
  <c r="CS49" i="1" s="1"/>
  <c r="CT49" i="1" s="1"/>
  <c r="CU49" i="1" s="1"/>
  <c r="CV49" i="1" s="1"/>
  <c r="CW49" i="1" s="1"/>
  <c r="CX49" i="1" s="1"/>
  <c r="CY49" i="1" s="1"/>
  <c r="BV50" i="1"/>
  <c r="BW50" i="1" s="1"/>
  <c r="BX50" i="1" s="1"/>
  <c r="BY50" i="1" s="1"/>
  <c r="BZ50" i="1" s="1"/>
  <c r="CA50" i="1" s="1"/>
  <c r="CB50" i="1" s="1"/>
  <c r="CC50" i="1" s="1"/>
  <c r="CD50" i="1" s="1"/>
  <c r="CE50" i="1" s="1"/>
  <c r="CF50" i="1" s="1"/>
  <c r="CG50" i="1" s="1"/>
  <c r="CH50" i="1" s="1"/>
  <c r="CI50" i="1" s="1"/>
  <c r="CJ50" i="1" s="1"/>
  <c r="CK50" i="1" s="1"/>
  <c r="CL50" i="1" s="1"/>
  <c r="CM50" i="1" s="1"/>
  <c r="CN50" i="1" s="1"/>
  <c r="CO50" i="1" s="1"/>
  <c r="CP50" i="1" s="1"/>
  <c r="CQ50" i="1" s="1"/>
  <c r="CR50" i="1" s="1"/>
  <c r="CS50" i="1" s="1"/>
  <c r="CT50" i="1" s="1"/>
  <c r="CU50" i="1" s="1"/>
  <c r="CV50" i="1" s="1"/>
  <c r="CW50" i="1" s="1"/>
  <c r="CX50" i="1" s="1"/>
  <c r="CY50" i="1" s="1"/>
  <c r="BV51" i="1"/>
  <c r="BW51" i="1" s="1"/>
  <c r="BX51" i="1" s="1"/>
  <c r="BY51" i="1" s="1"/>
  <c r="BZ51" i="1" s="1"/>
  <c r="CA51" i="1" s="1"/>
  <c r="CB51" i="1" s="1"/>
  <c r="CC51" i="1" s="1"/>
  <c r="CD51" i="1" s="1"/>
  <c r="CE51" i="1" s="1"/>
  <c r="CF51" i="1" s="1"/>
  <c r="CG51" i="1" s="1"/>
  <c r="CH51" i="1" s="1"/>
  <c r="CI51" i="1" s="1"/>
  <c r="CJ51" i="1" s="1"/>
  <c r="CK51" i="1" s="1"/>
  <c r="CL51" i="1" s="1"/>
  <c r="CM51" i="1" s="1"/>
  <c r="CN51" i="1" s="1"/>
  <c r="CO51" i="1" s="1"/>
  <c r="CP51" i="1" s="1"/>
  <c r="CQ51" i="1" s="1"/>
  <c r="CR51" i="1" s="1"/>
  <c r="CS51" i="1" s="1"/>
  <c r="CT51" i="1" s="1"/>
  <c r="CU51" i="1" s="1"/>
  <c r="CV51" i="1" s="1"/>
  <c r="CW51" i="1" s="1"/>
  <c r="CX51" i="1" s="1"/>
  <c r="CY51" i="1" s="1"/>
  <c r="BV52" i="1"/>
  <c r="BW52" i="1" s="1"/>
  <c r="BX52" i="1" s="1"/>
  <c r="BY52" i="1" s="1"/>
  <c r="BZ52" i="1" s="1"/>
  <c r="CA52" i="1" s="1"/>
  <c r="CB52" i="1" s="1"/>
  <c r="CC52" i="1" s="1"/>
  <c r="CD52" i="1" s="1"/>
  <c r="CE52" i="1" s="1"/>
  <c r="CF52" i="1" s="1"/>
  <c r="CG52" i="1" s="1"/>
  <c r="CH52" i="1" s="1"/>
  <c r="CI52" i="1" s="1"/>
  <c r="CJ52" i="1" s="1"/>
  <c r="CK52" i="1" s="1"/>
  <c r="CL52" i="1" s="1"/>
  <c r="CM52" i="1" s="1"/>
  <c r="CN52" i="1" s="1"/>
  <c r="CO52" i="1" s="1"/>
  <c r="CP52" i="1" s="1"/>
  <c r="CQ52" i="1" s="1"/>
  <c r="CR52" i="1" s="1"/>
  <c r="CS52" i="1" s="1"/>
  <c r="CT52" i="1" s="1"/>
  <c r="CU52" i="1" s="1"/>
  <c r="CV52" i="1" s="1"/>
  <c r="CW52" i="1" s="1"/>
  <c r="CX52" i="1" s="1"/>
  <c r="CY52" i="1" s="1"/>
  <c r="BV53" i="1"/>
  <c r="BW53" i="1" s="1"/>
  <c r="BX53" i="1" s="1"/>
  <c r="BY53" i="1" s="1"/>
  <c r="BZ53" i="1" s="1"/>
  <c r="CA53" i="1" s="1"/>
  <c r="CB53" i="1" s="1"/>
  <c r="CC53" i="1" s="1"/>
  <c r="CD53" i="1" s="1"/>
  <c r="CE53" i="1" s="1"/>
  <c r="CF53" i="1" s="1"/>
  <c r="CG53" i="1" s="1"/>
  <c r="CH53" i="1" s="1"/>
  <c r="CI53" i="1" s="1"/>
  <c r="CJ53" i="1" s="1"/>
  <c r="CK53" i="1" s="1"/>
  <c r="CL53" i="1" s="1"/>
  <c r="CM53" i="1" s="1"/>
  <c r="CN53" i="1" s="1"/>
  <c r="CO53" i="1" s="1"/>
  <c r="CP53" i="1" s="1"/>
  <c r="CQ53" i="1" s="1"/>
  <c r="CR53" i="1" s="1"/>
  <c r="CS53" i="1" s="1"/>
  <c r="CT53" i="1" s="1"/>
  <c r="CU53" i="1" s="1"/>
  <c r="CV53" i="1" s="1"/>
  <c r="CW53" i="1" s="1"/>
  <c r="CX53" i="1" s="1"/>
  <c r="CY53" i="1" s="1"/>
  <c r="BV54" i="1"/>
  <c r="BW54" i="1" s="1"/>
  <c r="BX54" i="1" s="1"/>
  <c r="BY54" i="1" s="1"/>
  <c r="BZ54" i="1" s="1"/>
  <c r="CA54" i="1" s="1"/>
  <c r="CB54" i="1" s="1"/>
  <c r="CC54" i="1" s="1"/>
  <c r="CD54" i="1" s="1"/>
  <c r="CE54" i="1" s="1"/>
  <c r="CF54" i="1" s="1"/>
  <c r="CG54" i="1" s="1"/>
  <c r="CH54" i="1" s="1"/>
  <c r="CI54" i="1" s="1"/>
  <c r="CJ54" i="1" s="1"/>
  <c r="CK54" i="1" s="1"/>
  <c r="CL54" i="1" s="1"/>
  <c r="CM54" i="1" s="1"/>
  <c r="CN54" i="1" s="1"/>
  <c r="CO54" i="1" s="1"/>
  <c r="CP54" i="1" s="1"/>
  <c r="CQ54" i="1" s="1"/>
  <c r="CR54" i="1" s="1"/>
  <c r="CS54" i="1" s="1"/>
  <c r="CT54" i="1" s="1"/>
  <c r="CU54" i="1" s="1"/>
  <c r="CV54" i="1" s="1"/>
  <c r="CW54" i="1" s="1"/>
  <c r="CX54" i="1" s="1"/>
  <c r="CY54" i="1" s="1"/>
  <c r="BV55" i="1"/>
  <c r="BW55" i="1" s="1"/>
  <c r="BX55" i="1" s="1"/>
  <c r="BY55" i="1" s="1"/>
  <c r="BZ55" i="1" s="1"/>
  <c r="CA55" i="1" s="1"/>
  <c r="CB55" i="1" s="1"/>
  <c r="CC55" i="1" s="1"/>
  <c r="CD55" i="1" s="1"/>
  <c r="CE55" i="1" s="1"/>
  <c r="CF55" i="1" s="1"/>
  <c r="CG55" i="1" s="1"/>
  <c r="CH55" i="1" s="1"/>
  <c r="CI55" i="1" s="1"/>
  <c r="CJ55" i="1" s="1"/>
  <c r="CK55" i="1" s="1"/>
  <c r="CL55" i="1" s="1"/>
  <c r="CM55" i="1" s="1"/>
  <c r="CN55" i="1" s="1"/>
  <c r="CO55" i="1" s="1"/>
  <c r="CP55" i="1" s="1"/>
  <c r="CQ55" i="1" s="1"/>
  <c r="CR55" i="1" s="1"/>
  <c r="CS55" i="1" s="1"/>
  <c r="CT55" i="1" s="1"/>
  <c r="CU55" i="1" s="1"/>
  <c r="CV55" i="1" s="1"/>
  <c r="CW55" i="1" s="1"/>
  <c r="CX55" i="1" s="1"/>
  <c r="CY55" i="1" s="1"/>
  <c r="BV56" i="1"/>
  <c r="BW56" i="1" s="1"/>
  <c r="BX56" i="1" s="1"/>
  <c r="BY56" i="1" s="1"/>
  <c r="BZ56" i="1" s="1"/>
  <c r="CA56" i="1" s="1"/>
  <c r="CB56" i="1" s="1"/>
  <c r="CC56" i="1" s="1"/>
  <c r="CD56" i="1" s="1"/>
  <c r="CE56" i="1" s="1"/>
  <c r="CF56" i="1" s="1"/>
  <c r="CG56" i="1" s="1"/>
  <c r="CH56" i="1" s="1"/>
  <c r="CI56" i="1" s="1"/>
  <c r="CJ56" i="1" s="1"/>
  <c r="CK56" i="1" s="1"/>
  <c r="CL56" i="1" s="1"/>
  <c r="CM56" i="1" s="1"/>
  <c r="CN56" i="1" s="1"/>
  <c r="CO56" i="1" s="1"/>
  <c r="CP56" i="1" s="1"/>
  <c r="CQ56" i="1" s="1"/>
  <c r="CR56" i="1" s="1"/>
  <c r="CS56" i="1" s="1"/>
  <c r="CT56" i="1" s="1"/>
  <c r="CU56" i="1" s="1"/>
  <c r="CV56" i="1" s="1"/>
  <c r="CW56" i="1" s="1"/>
  <c r="CX56" i="1" s="1"/>
  <c r="CY56" i="1" s="1"/>
  <c r="BV57" i="1"/>
  <c r="BW57" i="1"/>
  <c r="BX57" i="1" s="1"/>
  <c r="BY57" i="1" s="1"/>
  <c r="BZ57" i="1" s="1"/>
  <c r="CA57" i="1" s="1"/>
  <c r="CB57" i="1" s="1"/>
  <c r="CC57" i="1" s="1"/>
  <c r="CD57" i="1" s="1"/>
  <c r="CE57" i="1" s="1"/>
  <c r="CF57" i="1" s="1"/>
  <c r="CG57" i="1" s="1"/>
  <c r="CH57" i="1" s="1"/>
  <c r="CI57" i="1" s="1"/>
  <c r="CJ57" i="1" s="1"/>
  <c r="CK57" i="1" s="1"/>
  <c r="CL57" i="1" s="1"/>
  <c r="CM57" i="1" s="1"/>
  <c r="CN57" i="1" s="1"/>
  <c r="CO57" i="1" s="1"/>
  <c r="CP57" i="1" s="1"/>
  <c r="CQ57" i="1" s="1"/>
  <c r="CR57" i="1" s="1"/>
  <c r="CS57" i="1" s="1"/>
  <c r="CT57" i="1" s="1"/>
  <c r="CU57" i="1" s="1"/>
  <c r="CV57" i="1" s="1"/>
  <c r="CW57" i="1" s="1"/>
  <c r="CX57" i="1" s="1"/>
  <c r="CY57" i="1" s="1"/>
  <c r="BV58" i="1"/>
  <c r="BW58" i="1"/>
  <c r="BX58" i="1" s="1"/>
  <c r="BY58" i="1" s="1"/>
  <c r="BZ58" i="1" s="1"/>
  <c r="CA58" i="1" s="1"/>
  <c r="CB58" i="1" s="1"/>
  <c r="CC58" i="1" s="1"/>
  <c r="CD58" i="1" s="1"/>
  <c r="CE58" i="1" s="1"/>
  <c r="CF58" i="1" s="1"/>
  <c r="CG58" i="1" s="1"/>
  <c r="CH58" i="1" s="1"/>
  <c r="CI58" i="1" s="1"/>
  <c r="CJ58" i="1" s="1"/>
  <c r="CK58" i="1" s="1"/>
  <c r="CL58" i="1" s="1"/>
  <c r="CM58" i="1" s="1"/>
  <c r="CN58" i="1" s="1"/>
  <c r="CO58" i="1" s="1"/>
  <c r="CP58" i="1" s="1"/>
  <c r="CQ58" i="1" s="1"/>
  <c r="CR58" i="1" s="1"/>
  <c r="CS58" i="1" s="1"/>
  <c r="CT58" i="1" s="1"/>
  <c r="CU58" i="1" s="1"/>
  <c r="CV58" i="1" s="1"/>
  <c r="CW58" i="1" s="1"/>
  <c r="CX58" i="1" s="1"/>
  <c r="CY58" i="1" s="1"/>
  <c r="BV59" i="1"/>
  <c r="BW59" i="1" s="1"/>
  <c r="BX59" i="1" s="1"/>
  <c r="BY59" i="1" s="1"/>
  <c r="BZ59" i="1" s="1"/>
  <c r="CA59" i="1" s="1"/>
  <c r="CB59" i="1" s="1"/>
  <c r="CC59" i="1" s="1"/>
  <c r="CD59" i="1" s="1"/>
  <c r="CE59" i="1" s="1"/>
  <c r="CF59" i="1" s="1"/>
  <c r="CG59" i="1" s="1"/>
  <c r="CH59" i="1" s="1"/>
  <c r="CI59" i="1" s="1"/>
  <c r="CJ59" i="1" s="1"/>
  <c r="CK59" i="1" s="1"/>
  <c r="CL59" i="1" s="1"/>
  <c r="CM59" i="1" s="1"/>
  <c r="CN59" i="1" s="1"/>
  <c r="CO59" i="1" s="1"/>
  <c r="CP59" i="1" s="1"/>
  <c r="CQ59" i="1" s="1"/>
  <c r="CR59" i="1" s="1"/>
  <c r="CS59" i="1" s="1"/>
  <c r="CT59" i="1" s="1"/>
  <c r="CU59" i="1" s="1"/>
  <c r="CV59" i="1" s="1"/>
  <c r="CW59" i="1" s="1"/>
  <c r="CX59" i="1" s="1"/>
  <c r="CY59" i="1" s="1"/>
  <c r="BV60" i="1"/>
  <c r="BW60" i="1" s="1"/>
  <c r="BX60" i="1" s="1"/>
  <c r="BY60" i="1" s="1"/>
  <c r="BZ60" i="1" s="1"/>
  <c r="CA60" i="1" s="1"/>
  <c r="CB60" i="1" s="1"/>
  <c r="CC60" i="1" s="1"/>
  <c r="CD60" i="1" s="1"/>
  <c r="CE60" i="1" s="1"/>
  <c r="CF60" i="1" s="1"/>
  <c r="CG60" i="1" s="1"/>
  <c r="CH60" i="1" s="1"/>
  <c r="CI60" i="1" s="1"/>
  <c r="CJ60" i="1" s="1"/>
  <c r="CK60" i="1" s="1"/>
  <c r="CL60" i="1" s="1"/>
  <c r="CM60" i="1" s="1"/>
  <c r="CN60" i="1" s="1"/>
  <c r="CO60" i="1" s="1"/>
  <c r="CP60" i="1" s="1"/>
  <c r="CQ60" i="1" s="1"/>
  <c r="CR60" i="1" s="1"/>
  <c r="CS60" i="1" s="1"/>
  <c r="CT60" i="1" s="1"/>
  <c r="CU60" i="1" s="1"/>
  <c r="CV60" i="1" s="1"/>
  <c r="CW60" i="1" s="1"/>
  <c r="CX60" i="1" s="1"/>
  <c r="CY60" i="1" s="1"/>
  <c r="BV61" i="1"/>
  <c r="BW61" i="1"/>
  <c r="BX61" i="1" s="1"/>
  <c r="BY61" i="1" s="1"/>
  <c r="BZ61" i="1" s="1"/>
  <c r="CA61" i="1" s="1"/>
  <c r="CB61" i="1" s="1"/>
  <c r="CC61" i="1" s="1"/>
  <c r="CD61" i="1" s="1"/>
  <c r="CE61" i="1" s="1"/>
  <c r="CF61" i="1" s="1"/>
  <c r="CG61" i="1" s="1"/>
  <c r="CH61" i="1" s="1"/>
  <c r="CI61" i="1" s="1"/>
  <c r="CJ61" i="1" s="1"/>
  <c r="CK61" i="1" s="1"/>
  <c r="CL61" i="1" s="1"/>
  <c r="CM61" i="1" s="1"/>
  <c r="CN61" i="1" s="1"/>
  <c r="CO61" i="1" s="1"/>
  <c r="CP61" i="1" s="1"/>
  <c r="CQ61" i="1" s="1"/>
  <c r="CR61" i="1" s="1"/>
  <c r="CS61" i="1" s="1"/>
  <c r="CT61" i="1" s="1"/>
  <c r="CU61" i="1" s="1"/>
  <c r="CV61" i="1" s="1"/>
  <c r="CW61" i="1" s="1"/>
  <c r="CX61" i="1" s="1"/>
  <c r="CY61" i="1" s="1"/>
  <c r="BV62" i="1"/>
  <c r="BW62" i="1"/>
  <c r="BX62" i="1" s="1"/>
  <c r="BY62" i="1" s="1"/>
  <c r="BZ62" i="1" s="1"/>
  <c r="CA62" i="1" s="1"/>
  <c r="CB62" i="1" s="1"/>
  <c r="CC62" i="1" s="1"/>
  <c r="CD62" i="1" s="1"/>
  <c r="CE62" i="1" s="1"/>
  <c r="CF62" i="1" s="1"/>
  <c r="CG62" i="1" s="1"/>
  <c r="CH62" i="1" s="1"/>
  <c r="CI62" i="1" s="1"/>
  <c r="CJ62" i="1" s="1"/>
  <c r="CK62" i="1" s="1"/>
  <c r="CL62" i="1" s="1"/>
  <c r="CM62" i="1" s="1"/>
  <c r="CN62" i="1" s="1"/>
  <c r="CO62" i="1" s="1"/>
  <c r="CP62" i="1" s="1"/>
  <c r="CQ62" i="1" s="1"/>
  <c r="CR62" i="1" s="1"/>
  <c r="CS62" i="1" s="1"/>
  <c r="CT62" i="1" s="1"/>
  <c r="CU62" i="1" s="1"/>
  <c r="CV62" i="1" s="1"/>
  <c r="CW62" i="1" s="1"/>
  <c r="CX62" i="1" s="1"/>
  <c r="CY62" i="1" s="1"/>
  <c r="BV63" i="1"/>
  <c r="BW63" i="1" s="1"/>
  <c r="BX63" i="1" s="1"/>
  <c r="BY63" i="1" s="1"/>
  <c r="BZ63" i="1" s="1"/>
  <c r="CA63" i="1" s="1"/>
  <c r="CB63" i="1" s="1"/>
  <c r="CC63" i="1" s="1"/>
  <c r="CD63" i="1" s="1"/>
  <c r="CE63" i="1" s="1"/>
  <c r="CF63" i="1" s="1"/>
  <c r="CG63" i="1" s="1"/>
  <c r="CH63" i="1" s="1"/>
  <c r="CI63" i="1" s="1"/>
  <c r="CJ63" i="1" s="1"/>
  <c r="CK63" i="1" s="1"/>
  <c r="CL63" i="1" s="1"/>
  <c r="CM63" i="1" s="1"/>
  <c r="CN63" i="1" s="1"/>
  <c r="CO63" i="1" s="1"/>
  <c r="CP63" i="1" s="1"/>
  <c r="CQ63" i="1" s="1"/>
  <c r="CR63" i="1" s="1"/>
  <c r="CS63" i="1" s="1"/>
  <c r="CT63" i="1" s="1"/>
  <c r="CU63" i="1" s="1"/>
  <c r="CV63" i="1" s="1"/>
  <c r="CW63" i="1" s="1"/>
  <c r="CX63" i="1" s="1"/>
  <c r="CY63" i="1" s="1"/>
  <c r="BV64" i="1"/>
  <c r="BW64" i="1" s="1"/>
  <c r="BX64" i="1" s="1"/>
  <c r="BY64" i="1" s="1"/>
  <c r="BZ64" i="1" s="1"/>
  <c r="CA64" i="1" s="1"/>
  <c r="CB64" i="1" s="1"/>
  <c r="CC64" i="1" s="1"/>
  <c r="CD64" i="1" s="1"/>
  <c r="CE64" i="1" s="1"/>
  <c r="CF64" i="1" s="1"/>
  <c r="CG64" i="1" s="1"/>
  <c r="CH64" i="1" s="1"/>
  <c r="CI64" i="1" s="1"/>
  <c r="CJ64" i="1" s="1"/>
  <c r="CK64" i="1" s="1"/>
  <c r="CL64" i="1" s="1"/>
  <c r="CM64" i="1" s="1"/>
  <c r="CN64" i="1" s="1"/>
  <c r="CO64" i="1" s="1"/>
  <c r="CP64" i="1" s="1"/>
  <c r="CQ64" i="1" s="1"/>
  <c r="CR64" i="1" s="1"/>
  <c r="CS64" i="1" s="1"/>
  <c r="CT64" i="1" s="1"/>
  <c r="CU64" i="1" s="1"/>
  <c r="CV64" i="1" s="1"/>
  <c r="CW64" i="1" s="1"/>
  <c r="CX64" i="1" s="1"/>
  <c r="CY64" i="1" s="1"/>
  <c r="BV65" i="1"/>
  <c r="BW65" i="1"/>
  <c r="BX65" i="1" s="1"/>
  <c r="BY65" i="1" s="1"/>
  <c r="BZ65" i="1" s="1"/>
  <c r="CA65" i="1" s="1"/>
  <c r="CB65" i="1" s="1"/>
  <c r="CC65" i="1" s="1"/>
  <c r="CD65" i="1" s="1"/>
  <c r="CE65" i="1" s="1"/>
  <c r="CF65" i="1" s="1"/>
  <c r="CG65" i="1" s="1"/>
  <c r="CH65" i="1" s="1"/>
  <c r="CI65" i="1" s="1"/>
  <c r="CJ65" i="1" s="1"/>
  <c r="CK65" i="1" s="1"/>
  <c r="CL65" i="1" s="1"/>
  <c r="CM65" i="1" s="1"/>
  <c r="CN65" i="1" s="1"/>
  <c r="CO65" i="1" s="1"/>
  <c r="CP65" i="1" s="1"/>
  <c r="CQ65" i="1" s="1"/>
  <c r="CR65" i="1" s="1"/>
  <c r="CS65" i="1" s="1"/>
  <c r="CT65" i="1" s="1"/>
  <c r="CU65" i="1" s="1"/>
  <c r="CV65" i="1" s="1"/>
  <c r="CW65" i="1" s="1"/>
  <c r="CX65" i="1" s="1"/>
  <c r="CY65" i="1" s="1"/>
  <c r="BW35" i="1"/>
  <c r="BX35" i="1" s="1"/>
  <c r="BY35" i="1" s="1"/>
  <c r="BZ35" i="1" s="1"/>
  <c r="CA35" i="1" s="1"/>
  <c r="CB35" i="1" s="1"/>
  <c r="CC35" i="1" s="1"/>
  <c r="CD35" i="1" s="1"/>
  <c r="CE35" i="1" s="1"/>
  <c r="CF35" i="1" s="1"/>
  <c r="CG35" i="1" s="1"/>
  <c r="CH35" i="1" s="1"/>
  <c r="CI35" i="1" s="1"/>
  <c r="CJ35" i="1" s="1"/>
  <c r="CK35" i="1" s="1"/>
  <c r="CL35" i="1" s="1"/>
  <c r="CM35" i="1" s="1"/>
  <c r="CN35" i="1" s="1"/>
  <c r="CO35" i="1" s="1"/>
  <c r="CP35" i="1" s="1"/>
  <c r="CQ35" i="1" s="1"/>
  <c r="CR35" i="1" s="1"/>
  <c r="CS35" i="1" s="1"/>
  <c r="CT35" i="1" s="1"/>
  <c r="CU35" i="1" s="1"/>
  <c r="CV35" i="1" s="1"/>
  <c r="CW35" i="1" s="1"/>
  <c r="CX35" i="1" s="1"/>
  <c r="CY35" i="1" s="1"/>
  <c r="H68" i="1"/>
  <c r="I68" i="1" s="1"/>
  <c r="J68" i="1" s="1"/>
  <c r="K68" i="1" s="1"/>
  <c r="L68" i="1" s="1"/>
  <c r="M68" i="1" s="1"/>
  <c r="N68" i="1" s="1"/>
  <c r="O68" i="1" s="1"/>
  <c r="P68" i="1" s="1"/>
  <c r="Q68" i="1" s="1"/>
  <c r="R68" i="1" s="1"/>
  <c r="S68" i="1" s="1"/>
  <c r="T68" i="1" s="1"/>
  <c r="U68" i="1" s="1"/>
  <c r="V68" i="1" s="1"/>
  <c r="W68" i="1" s="1"/>
  <c r="X68" i="1" s="1"/>
  <c r="Y68" i="1" s="1"/>
  <c r="Z68" i="1" s="1"/>
  <c r="AA68" i="1" s="1"/>
  <c r="AB68" i="1" s="1"/>
  <c r="AC68" i="1" s="1"/>
  <c r="AD68" i="1" s="1"/>
  <c r="AE68" i="1" s="1"/>
  <c r="AF68" i="1" s="1"/>
  <c r="AG68" i="1" s="1"/>
  <c r="AH68" i="1" s="1"/>
  <c r="AI68" i="1" s="1"/>
  <c r="AJ68" i="1" s="1"/>
  <c r="AK68" i="1" s="1"/>
  <c r="DE39" i="1" l="1"/>
  <c r="DF39" i="1" s="1"/>
  <c r="DG39" i="1" s="1"/>
  <c r="DH39" i="1" s="1"/>
  <c r="DI39" i="1" s="1"/>
  <c r="DJ39" i="1" s="1"/>
  <c r="DK39" i="1" s="1"/>
  <c r="DL39" i="1" s="1"/>
  <c r="DM39" i="1" s="1"/>
  <c r="DN39" i="1" s="1"/>
  <c r="DO39" i="1" s="1"/>
  <c r="DP39" i="1" s="1"/>
  <c r="DQ39" i="1" s="1"/>
  <c r="DR39" i="1" s="1"/>
  <c r="DS39" i="1" s="1"/>
  <c r="DT39" i="1" s="1"/>
  <c r="DU39" i="1" s="1"/>
  <c r="DV39" i="1" s="1"/>
  <c r="DW39" i="1" s="1"/>
  <c r="DX39" i="1" s="1"/>
  <c r="DY39" i="1" s="1"/>
  <c r="DZ39" i="1" s="1"/>
  <c r="EA39" i="1" s="1"/>
  <c r="EB39" i="1" s="1"/>
  <c r="EC39" i="1" s="1"/>
  <c r="ED39" i="1" s="1"/>
  <c r="EE39" i="1" s="1"/>
  <c r="EF39" i="1" s="1"/>
  <c r="EG39" i="1" s="1"/>
  <c r="DE43" i="1"/>
  <c r="DE47" i="1"/>
  <c r="DF47" i="1" s="1"/>
  <c r="DG47" i="1" s="1"/>
  <c r="DH47" i="1" s="1"/>
  <c r="DI47" i="1" s="1"/>
  <c r="DJ47" i="1" s="1"/>
  <c r="DK47" i="1" s="1"/>
  <c r="DL47" i="1" s="1"/>
  <c r="DM47" i="1" s="1"/>
  <c r="DN47" i="1" s="1"/>
  <c r="DO47" i="1" s="1"/>
  <c r="DP47" i="1" s="1"/>
  <c r="DQ47" i="1" s="1"/>
  <c r="DR47" i="1" s="1"/>
  <c r="DS47" i="1" s="1"/>
  <c r="DT47" i="1" s="1"/>
  <c r="DU47" i="1" s="1"/>
  <c r="DV47" i="1" s="1"/>
  <c r="DW47" i="1" s="1"/>
  <c r="DX47" i="1" s="1"/>
  <c r="DY47" i="1" s="1"/>
  <c r="DZ47" i="1" s="1"/>
  <c r="EA47" i="1" s="1"/>
  <c r="EB47" i="1" s="1"/>
  <c r="EC47" i="1" s="1"/>
  <c r="ED47" i="1" s="1"/>
  <c r="EE47" i="1" s="1"/>
  <c r="EF47" i="1" s="1"/>
  <c r="EG47" i="1" s="1"/>
  <c r="DE59" i="1"/>
  <c r="DF59" i="1" s="1"/>
  <c r="DG59" i="1" s="1"/>
  <c r="DH59" i="1" s="1"/>
  <c r="DI59" i="1" s="1"/>
  <c r="DJ59" i="1" s="1"/>
  <c r="DK59" i="1" s="1"/>
  <c r="DL59" i="1" s="1"/>
  <c r="DM59" i="1" s="1"/>
  <c r="DN59" i="1" s="1"/>
  <c r="DO59" i="1" s="1"/>
  <c r="DP59" i="1" s="1"/>
  <c r="DQ59" i="1" s="1"/>
  <c r="DR59" i="1" s="1"/>
  <c r="DS59" i="1" s="1"/>
  <c r="DT59" i="1" s="1"/>
  <c r="DU59" i="1" s="1"/>
  <c r="DV59" i="1" s="1"/>
  <c r="DW59" i="1" s="1"/>
  <c r="DX59" i="1" s="1"/>
  <c r="DY59" i="1" s="1"/>
  <c r="DZ59" i="1" s="1"/>
  <c r="EA59" i="1" s="1"/>
  <c r="EB59" i="1" s="1"/>
  <c r="EC59" i="1" s="1"/>
  <c r="ED59" i="1" s="1"/>
  <c r="EE59" i="1" s="1"/>
  <c r="EF59" i="1" s="1"/>
  <c r="EG59" i="1" s="1"/>
  <c r="DE55" i="1"/>
  <c r="DF55" i="1" s="1"/>
  <c r="DG55" i="1" s="1"/>
  <c r="DH55" i="1" s="1"/>
  <c r="DI55" i="1" s="1"/>
  <c r="DJ55" i="1" s="1"/>
  <c r="DK55" i="1" s="1"/>
  <c r="DL55" i="1" s="1"/>
  <c r="DM55" i="1" s="1"/>
  <c r="DN55" i="1" s="1"/>
  <c r="DO55" i="1" s="1"/>
  <c r="DP55" i="1" s="1"/>
  <c r="DQ55" i="1" s="1"/>
  <c r="DR55" i="1" s="1"/>
  <c r="DS55" i="1" s="1"/>
  <c r="DT55" i="1" s="1"/>
  <c r="DU55" i="1" s="1"/>
  <c r="DV55" i="1" s="1"/>
  <c r="DW55" i="1" s="1"/>
  <c r="DX55" i="1" s="1"/>
  <c r="DY55" i="1" s="1"/>
  <c r="DZ55" i="1" s="1"/>
  <c r="EA55" i="1" s="1"/>
  <c r="EB55" i="1" s="1"/>
  <c r="EC55" i="1" s="1"/>
  <c r="ED55" i="1" s="1"/>
  <c r="EE55" i="1" s="1"/>
  <c r="EF55" i="1" s="1"/>
  <c r="EG55" i="1" s="1"/>
  <c r="DE51" i="1"/>
  <c r="DF51" i="1" s="1"/>
  <c r="DG51" i="1" s="1"/>
  <c r="DH51" i="1" s="1"/>
  <c r="DI51" i="1" s="1"/>
  <c r="DJ51" i="1" s="1"/>
  <c r="DK51" i="1" s="1"/>
  <c r="DL51" i="1" s="1"/>
  <c r="DM51" i="1" s="1"/>
  <c r="DN51" i="1" s="1"/>
  <c r="DO51" i="1" s="1"/>
  <c r="DP51" i="1" s="1"/>
  <c r="DQ51" i="1" s="1"/>
  <c r="DR51" i="1" s="1"/>
  <c r="DS51" i="1" s="1"/>
  <c r="DT51" i="1" s="1"/>
  <c r="DU51" i="1" s="1"/>
  <c r="DV51" i="1" s="1"/>
  <c r="DW51" i="1" s="1"/>
  <c r="DX51" i="1" s="1"/>
  <c r="DY51" i="1" s="1"/>
  <c r="DZ51" i="1" s="1"/>
  <c r="EA51" i="1" s="1"/>
  <c r="EB51" i="1" s="1"/>
  <c r="EC51" i="1" s="1"/>
  <c r="ED51" i="1" s="1"/>
  <c r="EE51" i="1" s="1"/>
  <c r="EF51" i="1" s="1"/>
  <c r="EG51" i="1" s="1"/>
  <c r="DE63" i="1"/>
  <c r="DF63" i="1" s="1"/>
  <c r="DG63" i="1" s="1"/>
  <c r="DH63" i="1" s="1"/>
  <c r="DI63" i="1" s="1"/>
  <c r="DJ63" i="1" s="1"/>
  <c r="DK63" i="1" s="1"/>
  <c r="DL63" i="1" s="1"/>
  <c r="DM63" i="1" s="1"/>
  <c r="DN63" i="1" s="1"/>
  <c r="DO63" i="1" s="1"/>
  <c r="DP63" i="1" s="1"/>
  <c r="DQ63" i="1" s="1"/>
  <c r="DR63" i="1" s="1"/>
  <c r="DS63" i="1" s="1"/>
  <c r="DT63" i="1" s="1"/>
  <c r="DU63" i="1" s="1"/>
  <c r="DV63" i="1" s="1"/>
  <c r="DW63" i="1" s="1"/>
  <c r="DX63" i="1" s="1"/>
  <c r="DY63" i="1" s="1"/>
  <c r="DZ63" i="1" s="1"/>
  <c r="EA63" i="1" s="1"/>
  <c r="EB63" i="1" s="1"/>
  <c r="EC63" i="1" s="1"/>
  <c r="ED63" i="1" s="1"/>
  <c r="EE63" i="1" s="1"/>
  <c r="EF63" i="1" s="1"/>
  <c r="DE49" i="1"/>
  <c r="DF49" i="1" s="1"/>
  <c r="DG49" i="1" s="1"/>
  <c r="DH49" i="1" s="1"/>
  <c r="DI49" i="1" s="1"/>
  <c r="DJ49" i="1" s="1"/>
  <c r="DK49" i="1" s="1"/>
  <c r="DL49" i="1" s="1"/>
  <c r="DM49" i="1" s="1"/>
  <c r="DN49" i="1" s="1"/>
  <c r="DO49" i="1" s="1"/>
  <c r="DP49" i="1" s="1"/>
  <c r="DQ49" i="1" s="1"/>
  <c r="DR49" i="1" s="1"/>
  <c r="DS49" i="1" s="1"/>
  <c r="DT49" i="1" s="1"/>
  <c r="DU49" i="1" s="1"/>
  <c r="DV49" i="1" s="1"/>
  <c r="DW49" i="1" s="1"/>
  <c r="DX49" i="1" s="1"/>
  <c r="DY49" i="1" s="1"/>
  <c r="DZ49" i="1" s="1"/>
  <c r="EA49" i="1" s="1"/>
  <c r="EB49" i="1" s="1"/>
  <c r="EC49" i="1" s="1"/>
  <c r="ED49" i="1" s="1"/>
  <c r="EE49" i="1" s="1"/>
  <c r="EF49" i="1" s="1"/>
  <c r="DE57" i="1"/>
  <c r="DF57" i="1" s="1"/>
  <c r="DG57" i="1" s="1"/>
  <c r="DH57" i="1" s="1"/>
  <c r="DI57" i="1" s="1"/>
  <c r="DJ57" i="1" s="1"/>
  <c r="DK57" i="1" s="1"/>
  <c r="DL57" i="1" s="1"/>
  <c r="DM57" i="1" s="1"/>
  <c r="DN57" i="1" s="1"/>
  <c r="DO57" i="1" s="1"/>
  <c r="DP57" i="1" s="1"/>
  <c r="DQ57" i="1" s="1"/>
  <c r="DR57" i="1" s="1"/>
  <c r="DS57" i="1" s="1"/>
  <c r="DT57" i="1" s="1"/>
  <c r="DU57" i="1" s="1"/>
  <c r="DV57" i="1" s="1"/>
  <c r="DW57" i="1" s="1"/>
  <c r="DX57" i="1" s="1"/>
  <c r="DY57" i="1" s="1"/>
  <c r="DZ57" i="1" s="1"/>
  <c r="EA57" i="1" s="1"/>
  <c r="EB57" i="1" s="1"/>
  <c r="EC57" i="1" s="1"/>
  <c r="ED57" i="1" s="1"/>
  <c r="EE57" i="1" s="1"/>
  <c r="EF57" i="1" s="1"/>
  <c r="EG57" i="1" s="1"/>
  <c r="DE41" i="1"/>
  <c r="DF41" i="1" s="1"/>
  <c r="DG41" i="1" s="1"/>
  <c r="DH41" i="1" s="1"/>
  <c r="DI41" i="1" s="1"/>
  <c r="DJ41" i="1" s="1"/>
  <c r="DK41" i="1" s="1"/>
  <c r="DL41" i="1" s="1"/>
  <c r="DM41" i="1" s="1"/>
  <c r="DN41" i="1" s="1"/>
  <c r="DO41" i="1" s="1"/>
  <c r="DP41" i="1" s="1"/>
  <c r="DQ41" i="1" s="1"/>
  <c r="DR41" i="1" s="1"/>
  <c r="DS41" i="1" s="1"/>
  <c r="DT41" i="1" s="1"/>
  <c r="DU41" i="1" s="1"/>
  <c r="DV41" i="1" s="1"/>
  <c r="DW41" i="1" s="1"/>
  <c r="DX41" i="1" s="1"/>
  <c r="DY41" i="1" s="1"/>
  <c r="DZ41" i="1" s="1"/>
  <c r="EA41" i="1" s="1"/>
  <c r="EB41" i="1" s="1"/>
  <c r="EC41" i="1" s="1"/>
  <c r="ED41" i="1" s="1"/>
  <c r="EE41" i="1" s="1"/>
  <c r="EF41" i="1" s="1"/>
  <c r="EG41" i="1" s="1"/>
  <c r="DE54" i="1"/>
  <c r="DF54" i="1" s="1"/>
  <c r="DG54" i="1" s="1"/>
  <c r="DH54" i="1" s="1"/>
  <c r="DI54" i="1" s="1"/>
  <c r="DJ54" i="1" s="1"/>
  <c r="DK54" i="1" s="1"/>
  <c r="DL54" i="1" s="1"/>
  <c r="DM54" i="1" s="1"/>
  <c r="DN54" i="1" s="1"/>
  <c r="DO54" i="1" s="1"/>
  <c r="DP54" i="1" s="1"/>
  <c r="DQ54" i="1" s="1"/>
  <c r="DR54" i="1" s="1"/>
  <c r="DS54" i="1" s="1"/>
  <c r="DT54" i="1" s="1"/>
  <c r="DU54" i="1" s="1"/>
  <c r="DV54" i="1" s="1"/>
  <c r="DW54" i="1" s="1"/>
  <c r="DX54" i="1" s="1"/>
  <c r="DY54" i="1" s="1"/>
  <c r="DZ54" i="1" s="1"/>
  <c r="EA54" i="1" s="1"/>
  <c r="EB54" i="1" s="1"/>
  <c r="EC54" i="1" s="1"/>
  <c r="ED54" i="1" s="1"/>
  <c r="EE54" i="1" s="1"/>
  <c r="EF54" i="1" s="1"/>
  <c r="EG54" i="1" s="1"/>
  <c r="DE46" i="1"/>
  <c r="DF46" i="1" s="1"/>
  <c r="DG46" i="1" s="1"/>
  <c r="DH46" i="1" s="1"/>
  <c r="DI46" i="1" s="1"/>
  <c r="DJ46" i="1" s="1"/>
  <c r="DK46" i="1" s="1"/>
  <c r="DL46" i="1" s="1"/>
  <c r="DM46" i="1" s="1"/>
  <c r="DN46" i="1" s="1"/>
  <c r="DO46" i="1" s="1"/>
  <c r="DP46" i="1" s="1"/>
  <c r="DQ46" i="1" s="1"/>
  <c r="DR46" i="1" s="1"/>
  <c r="DS46" i="1" s="1"/>
  <c r="DT46" i="1" s="1"/>
  <c r="DU46" i="1" s="1"/>
  <c r="DV46" i="1" s="1"/>
  <c r="DW46" i="1" s="1"/>
  <c r="DX46" i="1" s="1"/>
  <c r="DY46" i="1" s="1"/>
  <c r="DZ46" i="1" s="1"/>
  <c r="EA46" i="1" s="1"/>
  <c r="EB46" i="1" s="1"/>
  <c r="EC46" i="1" s="1"/>
  <c r="ED46" i="1" s="1"/>
  <c r="EE46" i="1" s="1"/>
  <c r="EF46" i="1" s="1"/>
  <c r="EG46" i="1" s="1"/>
  <c r="DE38" i="1"/>
  <c r="DF38" i="1" s="1"/>
  <c r="DG38" i="1" s="1"/>
  <c r="DH38" i="1" s="1"/>
  <c r="DI38" i="1" s="1"/>
  <c r="DJ38" i="1" s="1"/>
  <c r="DK38" i="1" s="1"/>
  <c r="DL38" i="1" s="1"/>
  <c r="DM38" i="1" s="1"/>
  <c r="DN38" i="1" s="1"/>
  <c r="DO38" i="1" s="1"/>
  <c r="DP38" i="1" s="1"/>
  <c r="DQ38" i="1" s="1"/>
  <c r="DR38" i="1" s="1"/>
  <c r="DS38" i="1" s="1"/>
  <c r="DT38" i="1" s="1"/>
  <c r="DU38" i="1" s="1"/>
  <c r="DV38" i="1" s="1"/>
  <c r="DW38" i="1" s="1"/>
  <c r="DX38" i="1" s="1"/>
  <c r="DY38" i="1" s="1"/>
  <c r="DZ38" i="1" s="1"/>
  <c r="EA38" i="1" s="1"/>
  <c r="EB38" i="1" s="1"/>
  <c r="EC38" i="1" s="1"/>
  <c r="ED38" i="1" s="1"/>
  <c r="EE38" i="1" s="1"/>
  <c r="EF38" i="1" s="1"/>
  <c r="EG38" i="1" s="1"/>
  <c r="DE62" i="1"/>
  <c r="DF62" i="1" s="1"/>
  <c r="DG62" i="1" s="1"/>
  <c r="DH62" i="1" s="1"/>
  <c r="DI62" i="1" s="1"/>
  <c r="DJ62" i="1" s="1"/>
  <c r="DK62" i="1" s="1"/>
  <c r="DL62" i="1" s="1"/>
  <c r="DM62" i="1" s="1"/>
  <c r="DN62" i="1" s="1"/>
  <c r="DO62" i="1" s="1"/>
  <c r="DP62" i="1" s="1"/>
  <c r="DQ62" i="1" s="1"/>
  <c r="DR62" i="1" s="1"/>
  <c r="DS62" i="1" s="1"/>
  <c r="DT62" i="1" s="1"/>
  <c r="DU62" i="1" s="1"/>
  <c r="DV62" i="1" s="1"/>
  <c r="DW62" i="1" s="1"/>
  <c r="DX62" i="1" s="1"/>
  <c r="DY62" i="1" s="1"/>
  <c r="DZ62" i="1" s="1"/>
  <c r="EA62" i="1" s="1"/>
  <c r="EB62" i="1" s="1"/>
  <c r="EC62" i="1" s="1"/>
  <c r="ED62" i="1" s="1"/>
  <c r="EE62" i="1" s="1"/>
  <c r="EF62" i="1" s="1"/>
  <c r="EG62" i="1" s="1"/>
  <c r="DE58" i="1"/>
  <c r="DF58" i="1" s="1"/>
  <c r="DG58" i="1" s="1"/>
  <c r="DH58" i="1" s="1"/>
  <c r="DI58" i="1" s="1"/>
  <c r="DJ58" i="1" s="1"/>
  <c r="DK58" i="1" s="1"/>
  <c r="DL58" i="1" s="1"/>
  <c r="DM58" i="1" s="1"/>
  <c r="DN58" i="1" s="1"/>
  <c r="DO58" i="1" s="1"/>
  <c r="DP58" i="1" s="1"/>
  <c r="DQ58" i="1" s="1"/>
  <c r="DR58" i="1" s="1"/>
  <c r="DS58" i="1" s="1"/>
  <c r="DT58" i="1" s="1"/>
  <c r="DU58" i="1" s="1"/>
  <c r="DV58" i="1" s="1"/>
  <c r="DW58" i="1" s="1"/>
  <c r="DX58" i="1" s="1"/>
  <c r="DY58" i="1" s="1"/>
  <c r="DZ58" i="1" s="1"/>
  <c r="EA58" i="1" s="1"/>
  <c r="EB58" i="1" s="1"/>
  <c r="EC58" i="1" s="1"/>
  <c r="ED58" i="1" s="1"/>
  <c r="EE58" i="1" s="1"/>
  <c r="EF58" i="1" s="1"/>
  <c r="DE50" i="1"/>
  <c r="DF50" i="1" s="1"/>
  <c r="DG50" i="1" s="1"/>
  <c r="DH50" i="1" s="1"/>
  <c r="DI50" i="1" s="1"/>
  <c r="DJ50" i="1" s="1"/>
  <c r="DK50" i="1" s="1"/>
  <c r="DL50" i="1" s="1"/>
  <c r="DM50" i="1" s="1"/>
  <c r="DN50" i="1" s="1"/>
  <c r="DO50" i="1" s="1"/>
  <c r="DP50" i="1" s="1"/>
  <c r="DQ50" i="1" s="1"/>
  <c r="DR50" i="1" s="1"/>
  <c r="DS50" i="1" s="1"/>
  <c r="DT50" i="1" s="1"/>
  <c r="DU50" i="1" s="1"/>
  <c r="DV50" i="1" s="1"/>
  <c r="DW50" i="1" s="1"/>
  <c r="DX50" i="1" s="1"/>
  <c r="DY50" i="1" s="1"/>
  <c r="DZ50" i="1" s="1"/>
  <c r="EA50" i="1" s="1"/>
  <c r="EB50" i="1" s="1"/>
  <c r="EC50" i="1" s="1"/>
  <c r="ED50" i="1" s="1"/>
  <c r="EE50" i="1" s="1"/>
  <c r="EF50" i="1" s="1"/>
  <c r="EG50" i="1" s="1"/>
  <c r="DE42" i="1"/>
  <c r="DF42" i="1" s="1"/>
  <c r="DG42" i="1" s="1"/>
  <c r="DH42" i="1" s="1"/>
  <c r="DI42" i="1" s="1"/>
  <c r="DJ42" i="1" s="1"/>
  <c r="DK42" i="1" s="1"/>
  <c r="DL42" i="1" s="1"/>
  <c r="DM42" i="1" s="1"/>
  <c r="DN42" i="1" s="1"/>
  <c r="DO42" i="1" s="1"/>
  <c r="DP42" i="1" s="1"/>
  <c r="DQ42" i="1" s="1"/>
  <c r="DR42" i="1" s="1"/>
  <c r="DS42" i="1" s="1"/>
  <c r="DT42" i="1" s="1"/>
  <c r="DU42" i="1" s="1"/>
  <c r="DV42" i="1" s="1"/>
  <c r="DW42" i="1" s="1"/>
  <c r="DX42" i="1" s="1"/>
  <c r="DY42" i="1" s="1"/>
  <c r="DZ42" i="1" s="1"/>
  <c r="EA42" i="1" s="1"/>
  <c r="EB42" i="1" s="1"/>
  <c r="EC42" i="1" s="1"/>
  <c r="ED42" i="1" s="1"/>
  <c r="EE42" i="1" s="1"/>
  <c r="EF42" i="1" s="1"/>
  <c r="DF43" i="1"/>
  <c r="DG43" i="1" s="1"/>
  <c r="DH43" i="1" s="1"/>
  <c r="DI43" i="1" s="1"/>
  <c r="DJ43" i="1" s="1"/>
  <c r="DK43" i="1" s="1"/>
  <c r="DL43" i="1" s="1"/>
  <c r="DM43" i="1" s="1"/>
  <c r="DN43" i="1" s="1"/>
  <c r="DO43" i="1" s="1"/>
  <c r="DP43" i="1" s="1"/>
  <c r="DQ43" i="1" s="1"/>
  <c r="DR43" i="1" s="1"/>
  <c r="DS43" i="1" s="1"/>
  <c r="DT43" i="1" s="1"/>
  <c r="DU43" i="1" s="1"/>
  <c r="DV43" i="1" s="1"/>
  <c r="DW43" i="1" s="1"/>
  <c r="DX43" i="1" s="1"/>
  <c r="DY43" i="1" s="1"/>
  <c r="DZ43" i="1" s="1"/>
  <c r="EA43" i="1" s="1"/>
  <c r="EB43" i="1" s="1"/>
  <c r="EC43" i="1" s="1"/>
  <c r="ED43" i="1" s="1"/>
  <c r="EE43" i="1" s="1"/>
  <c r="EF43" i="1" s="1"/>
  <c r="DE65" i="1"/>
  <c r="DF65" i="1" s="1"/>
  <c r="DG65" i="1" s="1"/>
  <c r="DH65" i="1" s="1"/>
  <c r="DI65" i="1" s="1"/>
  <c r="DJ65" i="1" s="1"/>
  <c r="DK65" i="1" s="1"/>
  <c r="DL65" i="1" s="1"/>
  <c r="DM65" i="1" s="1"/>
  <c r="DN65" i="1" s="1"/>
  <c r="DO65" i="1" s="1"/>
  <c r="DP65" i="1" s="1"/>
  <c r="DQ65" i="1" s="1"/>
  <c r="DR65" i="1" s="1"/>
  <c r="DS65" i="1" s="1"/>
  <c r="DT65" i="1" s="1"/>
  <c r="DU65" i="1" s="1"/>
  <c r="DV65" i="1" s="1"/>
  <c r="DW65" i="1" s="1"/>
  <c r="DX65" i="1" s="1"/>
  <c r="DY65" i="1" s="1"/>
  <c r="DZ65" i="1" s="1"/>
  <c r="EA65" i="1" s="1"/>
  <c r="EB65" i="1" s="1"/>
  <c r="EC65" i="1" s="1"/>
  <c r="ED65" i="1" s="1"/>
  <c r="EE65" i="1" s="1"/>
  <c r="EF65" i="1" s="1"/>
  <c r="DE35" i="1"/>
  <c r="DF35" i="1" s="1"/>
  <c r="DG35" i="1" s="1"/>
  <c r="DH35" i="1" s="1"/>
  <c r="DI35" i="1" s="1"/>
  <c r="DJ35" i="1" s="1"/>
  <c r="DK35" i="1" s="1"/>
  <c r="DL35" i="1" s="1"/>
  <c r="DM35" i="1" s="1"/>
  <c r="DN35" i="1" s="1"/>
  <c r="DO35" i="1" s="1"/>
  <c r="DP35" i="1" s="1"/>
  <c r="DQ35" i="1" s="1"/>
  <c r="DR35" i="1" s="1"/>
  <c r="DS35" i="1" s="1"/>
  <c r="DT35" i="1" s="1"/>
  <c r="DU35" i="1" s="1"/>
  <c r="DV35" i="1" s="1"/>
  <c r="DW35" i="1" s="1"/>
  <c r="DX35" i="1" s="1"/>
  <c r="DY35" i="1" s="1"/>
  <c r="DZ35" i="1" s="1"/>
  <c r="EA35" i="1" s="1"/>
  <c r="EB35" i="1" s="1"/>
  <c r="EC35" i="1" s="1"/>
  <c r="ED35" i="1" s="1"/>
  <c r="EE35" i="1" s="1"/>
  <c r="EF35" i="1" s="1"/>
  <c r="DE64" i="1"/>
  <c r="DF64" i="1" s="1"/>
  <c r="DG64" i="1" s="1"/>
  <c r="DH64" i="1" s="1"/>
  <c r="DI64" i="1" s="1"/>
  <c r="DJ64" i="1" s="1"/>
  <c r="DK64" i="1" s="1"/>
  <c r="DL64" i="1" s="1"/>
  <c r="DM64" i="1" s="1"/>
  <c r="DN64" i="1" s="1"/>
  <c r="DO64" i="1" s="1"/>
  <c r="DP64" i="1" s="1"/>
  <c r="DQ64" i="1" s="1"/>
  <c r="DR64" i="1" s="1"/>
  <c r="DS64" i="1" s="1"/>
  <c r="DT64" i="1" s="1"/>
  <c r="DU64" i="1" s="1"/>
  <c r="DV64" i="1" s="1"/>
  <c r="DW64" i="1" s="1"/>
  <c r="DX64" i="1" s="1"/>
  <c r="DY64" i="1" s="1"/>
  <c r="DZ64" i="1" s="1"/>
  <c r="EA64" i="1" s="1"/>
  <c r="EB64" i="1" s="1"/>
  <c r="EC64" i="1" s="1"/>
  <c r="ED64" i="1" s="1"/>
  <c r="EE64" i="1" s="1"/>
  <c r="EF64" i="1" s="1"/>
  <c r="EG64" i="1" s="1"/>
  <c r="DE56" i="1"/>
  <c r="DF56" i="1" s="1"/>
  <c r="DG56" i="1" s="1"/>
  <c r="DH56" i="1" s="1"/>
  <c r="DI56" i="1" s="1"/>
  <c r="DJ56" i="1" s="1"/>
  <c r="DK56" i="1" s="1"/>
  <c r="DL56" i="1" s="1"/>
  <c r="DM56" i="1" s="1"/>
  <c r="DN56" i="1" s="1"/>
  <c r="DO56" i="1" s="1"/>
  <c r="DP56" i="1" s="1"/>
  <c r="DQ56" i="1" s="1"/>
  <c r="DR56" i="1" s="1"/>
  <c r="DS56" i="1" s="1"/>
  <c r="DT56" i="1" s="1"/>
  <c r="DU56" i="1" s="1"/>
  <c r="DV56" i="1" s="1"/>
  <c r="DW56" i="1" s="1"/>
  <c r="DX56" i="1" s="1"/>
  <c r="DY56" i="1" s="1"/>
  <c r="DZ56" i="1" s="1"/>
  <c r="EA56" i="1" s="1"/>
  <c r="EB56" i="1" s="1"/>
  <c r="EC56" i="1" s="1"/>
  <c r="ED56" i="1" s="1"/>
  <c r="EE56" i="1" s="1"/>
  <c r="EF56" i="1" s="1"/>
  <c r="EG56" i="1" s="1"/>
  <c r="DE48" i="1"/>
  <c r="DF48" i="1" s="1"/>
  <c r="DG48" i="1" s="1"/>
  <c r="DH48" i="1" s="1"/>
  <c r="DI48" i="1" s="1"/>
  <c r="DJ48" i="1" s="1"/>
  <c r="DK48" i="1" s="1"/>
  <c r="DL48" i="1" s="1"/>
  <c r="DM48" i="1" s="1"/>
  <c r="DN48" i="1" s="1"/>
  <c r="DO48" i="1" s="1"/>
  <c r="DP48" i="1" s="1"/>
  <c r="DQ48" i="1" s="1"/>
  <c r="DR48" i="1" s="1"/>
  <c r="DS48" i="1" s="1"/>
  <c r="DT48" i="1" s="1"/>
  <c r="DU48" i="1" s="1"/>
  <c r="DV48" i="1" s="1"/>
  <c r="DW48" i="1" s="1"/>
  <c r="DX48" i="1" s="1"/>
  <c r="DY48" i="1" s="1"/>
  <c r="DZ48" i="1" s="1"/>
  <c r="EA48" i="1" s="1"/>
  <c r="EB48" i="1" s="1"/>
  <c r="EC48" i="1" s="1"/>
  <c r="ED48" i="1" s="1"/>
  <c r="EE48" i="1" s="1"/>
  <c r="EF48" i="1" s="1"/>
  <c r="EG48" i="1" s="1"/>
  <c r="DE40" i="1"/>
  <c r="DF40" i="1" s="1"/>
  <c r="DG40" i="1" s="1"/>
  <c r="DH40" i="1" s="1"/>
  <c r="DI40" i="1" s="1"/>
  <c r="DJ40" i="1" s="1"/>
  <c r="DK40" i="1" s="1"/>
  <c r="DL40" i="1" s="1"/>
  <c r="DM40" i="1" s="1"/>
  <c r="DN40" i="1" s="1"/>
  <c r="DO40" i="1" s="1"/>
  <c r="DP40" i="1" s="1"/>
  <c r="DQ40" i="1" s="1"/>
  <c r="DR40" i="1" s="1"/>
  <c r="DS40" i="1" s="1"/>
  <c r="DT40" i="1" s="1"/>
  <c r="DU40" i="1" s="1"/>
  <c r="DV40" i="1" s="1"/>
  <c r="DW40" i="1" s="1"/>
  <c r="DX40" i="1" s="1"/>
  <c r="DY40" i="1" s="1"/>
  <c r="DZ40" i="1" s="1"/>
  <c r="EA40" i="1" s="1"/>
  <c r="EB40" i="1" s="1"/>
  <c r="EC40" i="1" s="1"/>
  <c r="ED40" i="1" s="1"/>
  <c r="EE40" i="1" s="1"/>
  <c r="EF40" i="1" s="1"/>
  <c r="EG40" i="1" s="1"/>
  <c r="DE45" i="1"/>
  <c r="DF45" i="1" s="1"/>
  <c r="DG45" i="1" s="1"/>
  <c r="DH45" i="1" s="1"/>
  <c r="DI45" i="1" s="1"/>
  <c r="DJ45" i="1" s="1"/>
  <c r="DK45" i="1" s="1"/>
  <c r="DL45" i="1" s="1"/>
  <c r="DM45" i="1" s="1"/>
  <c r="DN45" i="1" s="1"/>
  <c r="DO45" i="1" s="1"/>
  <c r="DP45" i="1" s="1"/>
  <c r="DQ45" i="1" s="1"/>
  <c r="DR45" i="1" s="1"/>
  <c r="DS45" i="1" s="1"/>
  <c r="DT45" i="1" s="1"/>
  <c r="DU45" i="1" s="1"/>
  <c r="DV45" i="1" s="1"/>
  <c r="DW45" i="1" s="1"/>
  <c r="DX45" i="1" s="1"/>
  <c r="DY45" i="1" s="1"/>
  <c r="DZ45" i="1" s="1"/>
  <c r="EA45" i="1" s="1"/>
  <c r="EB45" i="1" s="1"/>
  <c r="EC45" i="1" s="1"/>
  <c r="ED45" i="1" s="1"/>
  <c r="EE45" i="1" s="1"/>
  <c r="EF45" i="1" s="1"/>
  <c r="EG45" i="1" s="1"/>
  <c r="DE60" i="1"/>
  <c r="DF60" i="1" s="1"/>
  <c r="DG60" i="1" s="1"/>
  <c r="DH60" i="1" s="1"/>
  <c r="DI60" i="1" s="1"/>
  <c r="DJ60" i="1" s="1"/>
  <c r="DK60" i="1" s="1"/>
  <c r="DL60" i="1" s="1"/>
  <c r="DM60" i="1" s="1"/>
  <c r="DN60" i="1" s="1"/>
  <c r="DO60" i="1" s="1"/>
  <c r="DP60" i="1" s="1"/>
  <c r="DQ60" i="1" s="1"/>
  <c r="DR60" i="1" s="1"/>
  <c r="DS60" i="1" s="1"/>
  <c r="DT60" i="1" s="1"/>
  <c r="DU60" i="1" s="1"/>
  <c r="DV60" i="1" s="1"/>
  <c r="DW60" i="1" s="1"/>
  <c r="DX60" i="1" s="1"/>
  <c r="DY60" i="1" s="1"/>
  <c r="DZ60" i="1" s="1"/>
  <c r="EA60" i="1" s="1"/>
  <c r="EB60" i="1" s="1"/>
  <c r="EC60" i="1" s="1"/>
  <c r="ED60" i="1" s="1"/>
  <c r="EE60" i="1" s="1"/>
  <c r="EF60" i="1" s="1"/>
  <c r="EG60" i="1" s="1"/>
  <c r="DE52" i="1"/>
  <c r="DF52" i="1" s="1"/>
  <c r="DG52" i="1" s="1"/>
  <c r="DH52" i="1" s="1"/>
  <c r="DI52" i="1" s="1"/>
  <c r="DJ52" i="1" s="1"/>
  <c r="DK52" i="1" s="1"/>
  <c r="DL52" i="1" s="1"/>
  <c r="DM52" i="1" s="1"/>
  <c r="DN52" i="1" s="1"/>
  <c r="DO52" i="1" s="1"/>
  <c r="DP52" i="1" s="1"/>
  <c r="DQ52" i="1" s="1"/>
  <c r="DR52" i="1" s="1"/>
  <c r="DS52" i="1" s="1"/>
  <c r="DT52" i="1" s="1"/>
  <c r="DU52" i="1" s="1"/>
  <c r="DV52" i="1" s="1"/>
  <c r="DW52" i="1" s="1"/>
  <c r="DX52" i="1" s="1"/>
  <c r="DY52" i="1" s="1"/>
  <c r="DZ52" i="1" s="1"/>
  <c r="EA52" i="1" s="1"/>
  <c r="EB52" i="1" s="1"/>
  <c r="EC52" i="1" s="1"/>
  <c r="ED52" i="1" s="1"/>
  <c r="EE52" i="1" s="1"/>
  <c r="EF52" i="1" s="1"/>
  <c r="EG52" i="1" s="1"/>
  <c r="DE44" i="1"/>
  <c r="DF44" i="1" s="1"/>
  <c r="DG44" i="1" s="1"/>
  <c r="DH44" i="1" s="1"/>
  <c r="DI44" i="1" s="1"/>
  <c r="DJ44" i="1" s="1"/>
  <c r="DK44" i="1" s="1"/>
  <c r="DL44" i="1" s="1"/>
  <c r="DM44" i="1" s="1"/>
  <c r="DN44" i="1" s="1"/>
  <c r="DO44" i="1" s="1"/>
  <c r="DP44" i="1" s="1"/>
  <c r="DQ44" i="1" s="1"/>
  <c r="DR44" i="1" s="1"/>
  <c r="DS44" i="1" s="1"/>
  <c r="DT44" i="1" s="1"/>
  <c r="DU44" i="1" s="1"/>
  <c r="DV44" i="1" s="1"/>
  <c r="DW44" i="1" s="1"/>
  <c r="DX44" i="1" s="1"/>
  <c r="DY44" i="1" s="1"/>
  <c r="DZ44" i="1" s="1"/>
  <c r="EA44" i="1" s="1"/>
  <c r="EB44" i="1" s="1"/>
  <c r="EC44" i="1" s="1"/>
  <c r="ED44" i="1" s="1"/>
  <c r="EE44" i="1" s="1"/>
  <c r="EF44" i="1" s="1"/>
  <c r="DE36" i="1"/>
  <c r="DF36" i="1" s="1"/>
  <c r="DG36" i="1" s="1"/>
  <c r="DH36" i="1" s="1"/>
  <c r="DI36" i="1" s="1"/>
  <c r="DJ36" i="1" s="1"/>
  <c r="DK36" i="1" s="1"/>
  <c r="DL36" i="1" s="1"/>
  <c r="DM36" i="1" s="1"/>
  <c r="DN36" i="1" s="1"/>
  <c r="DO36" i="1" s="1"/>
  <c r="DP36" i="1" s="1"/>
  <c r="DQ36" i="1" s="1"/>
  <c r="DR36" i="1" s="1"/>
  <c r="DS36" i="1" s="1"/>
  <c r="DT36" i="1" s="1"/>
  <c r="DU36" i="1" s="1"/>
  <c r="DV36" i="1" s="1"/>
  <c r="DW36" i="1" s="1"/>
  <c r="DX36" i="1" s="1"/>
  <c r="DY36" i="1" s="1"/>
  <c r="DZ36" i="1" s="1"/>
  <c r="EA36" i="1" s="1"/>
  <c r="EB36" i="1" s="1"/>
  <c r="EC36" i="1" s="1"/>
  <c r="ED36" i="1" s="1"/>
  <c r="EE36" i="1" s="1"/>
  <c r="EF36" i="1" s="1"/>
  <c r="DE61" i="1"/>
  <c r="DF61" i="1" s="1"/>
  <c r="DG61" i="1" s="1"/>
  <c r="DH61" i="1" s="1"/>
  <c r="DI61" i="1" s="1"/>
  <c r="DJ61" i="1" s="1"/>
  <c r="DK61" i="1" s="1"/>
  <c r="DL61" i="1" s="1"/>
  <c r="DM61" i="1" s="1"/>
  <c r="DN61" i="1" s="1"/>
  <c r="DO61" i="1" s="1"/>
  <c r="DP61" i="1" s="1"/>
  <c r="DQ61" i="1" s="1"/>
  <c r="DR61" i="1" s="1"/>
  <c r="DS61" i="1" s="1"/>
  <c r="DT61" i="1" s="1"/>
  <c r="DU61" i="1" s="1"/>
  <c r="DV61" i="1" s="1"/>
  <c r="DW61" i="1" s="1"/>
  <c r="DX61" i="1" s="1"/>
  <c r="DY61" i="1" s="1"/>
  <c r="DZ61" i="1" s="1"/>
  <c r="EA61" i="1" s="1"/>
  <c r="EB61" i="1" s="1"/>
  <c r="EC61" i="1" s="1"/>
  <c r="ED61" i="1" s="1"/>
  <c r="EE61" i="1" s="1"/>
  <c r="EF61" i="1" s="1"/>
  <c r="DE53" i="1"/>
  <c r="DF53" i="1" s="1"/>
  <c r="DG53" i="1" s="1"/>
  <c r="DH53" i="1" s="1"/>
  <c r="DI53" i="1" s="1"/>
  <c r="DJ53" i="1" s="1"/>
  <c r="DK53" i="1" s="1"/>
  <c r="DL53" i="1" s="1"/>
  <c r="DM53" i="1" s="1"/>
  <c r="DN53" i="1" s="1"/>
  <c r="DO53" i="1" s="1"/>
  <c r="DP53" i="1" s="1"/>
  <c r="DQ53" i="1" s="1"/>
  <c r="DR53" i="1" s="1"/>
  <c r="DS53" i="1" s="1"/>
  <c r="DT53" i="1" s="1"/>
  <c r="DU53" i="1" s="1"/>
  <c r="DV53" i="1" s="1"/>
  <c r="DW53" i="1" s="1"/>
  <c r="DX53" i="1" s="1"/>
  <c r="DY53" i="1" s="1"/>
  <c r="DZ53" i="1" s="1"/>
  <c r="EA53" i="1" s="1"/>
  <c r="EB53" i="1" s="1"/>
  <c r="EC53" i="1" s="1"/>
  <c r="ED53" i="1" s="1"/>
  <c r="EE53" i="1" s="1"/>
  <c r="EF53" i="1" s="1"/>
  <c r="DE37" i="1"/>
  <c r="DF37" i="1" s="1"/>
  <c r="DG37" i="1" s="1"/>
  <c r="DH37" i="1" s="1"/>
  <c r="DI37" i="1" s="1"/>
  <c r="DJ37" i="1" s="1"/>
  <c r="DK37" i="1" s="1"/>
  <c r="DL37" i="1" s="1"/>
  <c r="DM37" i="1" s="1"/>
  <c r="DN37" i="1" s="1"/>
  <c r="DO37" i="1" s="1"/>
  <c r="DP37" i="1" s="1"/>
  <c r="DQ37" i="1" s="1"/>
  <c r="DR37" i="1" s="1"/>
  <c r="DS37" i="1" s="1"/>
  <c r="DT37" i="1" s="1"/>
  <c r="DU37" i="1" s="1"/>
  <c r="DV37" i="1" s="1"/>
  <c r="DW37" i="1" s="1"/>
  <c r="DX37" i="1" s="1"/>
  <c r="DY37" i="1" s="1"/>
  <c r="DZ37" i="1" s="1"/>
  <c r="EA37" i="1" s="1"/>
  <c r="EB37" i="1" s="1"/>
  <c r="EC37" i="1" s="1"/>
  <c r="ED37" i="1" s="1"/>
  <c r="EE37" i="1" s="1"/>
  <c r="EF37" i="1" s="1"/>
  <c r="EG36" i="1" l="1"/>
  <c r="AJ36" i="1"/>
  <c r="AI36" i="1" s="1"/>
  <c r="AJ48" i="1"/>
  <c r="AI48" i="1" s="1"/>
  <c r="AJ56" i="1"/>
  <c r="BQ90" i="1" s="1"/>
  <c r="EG49" i="1"/>
  <c r="AJ49" i="1"/>
  <c r="BQ83" i="1" s="1"/>
  <c r="EG65" i="1"/>
  <c r="AJ65" i="1"/>
  <c r="BQ99" i="1" s="1"/>
  <c r="AJ62" i="1"/>
  <c r="BQ96" i="1" s="1"/>
  <c r="AJ41" i="1"/>
  <c r="BQ75" i="1" s="1"/>
  <c r="AJ40" i="1"/>
  <c r="AI40" i="1" s="1"/>
  <c r="AJ55" i="1"/>
  <c r="AI55" i="1" s="1"/>
  <c r="AJ47" i="1"/>
  <c r="AI47" i="1" s="1"/>
  <c r="EG63" i="1"/>
  <c r="AJ63" i="1"/>
  <c r="BQ97" i="1" s="1"/>
  <c r="AJ39" i="1"/>
  <c r="BQ73" i="1" s="1"/>
  <c r="AJ57" i="1"/>
  <c r="BQ91" i="1" s="1"/>
  <c r="AJ60" i="1"/>
  <c r="AI60" i="1" s="1"/>
  <c r="AJ54" i="1"/>
  <c r="AI54" i="1" s="1"/>
  <c r="AJ64" i="1"/>
  <c r="BQ98" i="1" s="1"/>
  <c r="EF98" i="1" s="1"/>
  <c r="AJ52" i="1"/>
  <c r="BQ86" i="1" s="1"/>
  <c r="AJ46" i="1"/>
  <c r="BQ80" i="1" s="1"/>
  <c r="AJ45" i="1"/>
  <c r="AI45" i="1" s="1"/>
  <c r="AJ38" i="1"/>
  <c r="BQ72" i="1" s="1"/>
  <c r="AJ50" i="1"/>
  <c r="AI50" i="1" s="1"/>
  <c r="AJ59" i="1"/>
  <c r="AI59" i="1" s="1"/>
  <c r="AJ51" i="1"/>
  <c r="BQ85" i="1" s="1"/>
  <c r="EG58" i="1"/>
  <c r="AJ58" i="1"/>
  <c r="EG37" i="1"/>
  <c r="AJ37" i="1"/>
  <c r="EG53" i="1"/>
  <c r="AJ53" i="1"/>
  <c r="EG61" i="1"/>
  <c r="AJ61" i="1"/>
  <c r="EG44" i="1"/>
  <c r="AJ44" i="1"/>
  <c r="EG43" i="1"/>
  <c r="AJ43" i="1"/>
  <c r="EG35" i="1"/>
  <c r="AJ35" i="1"/>
  <c r="EG42" i="1"/>
  <c r="AJ42" i="1"/>
  <c r="EF97" i="1" l="1"/>
  <c r="EF96" i="1" s="1"/>
  <c r="BQ82" i="1"/>
  <c r="AI56" i="1"/>
  <c r="AH56" i="1" s="1"/>
  <c r="AI63" i="1"/>
  <c r="AH63" i="1" s="1"/>
  <c r="BQ70" i="1"/>
  <c r="BQ81" i="1"/>
  <c r="AI49" i="1"/>
  <c r="AH49" i="1" s="1"/>
  <c r="AI62" i="1"/>
  <c r="AH62" i="1" s="1"/>
  <c r="BQ74" i="1"/>
  <c r="AI41" i="1"/>
  <c r="BP75" i="1" s="1"/>
  <c r="BQ94" i="1"/>
  <c r="AI51" i="1"/>
  <c r="BP85" i="1" s="1"/>
  <c r="BQ89" i="1"/>
  <c r="AI65" i="1"/>
  <c r="AH65" i="1" s="1"/>
  <c r="AI64" i="1"/>
  <c r="AH64" i="1" s="1"/>
  <c r="BQ84" i="1"/>
  <c r="AI46" i="1"/>
  <c r="AH46" i="1" s="1"/>
  <c r="BQ79" i="1"/>
  <c r="BQ88" i="1"/>
  <c r="AI39" i="1"/>
  <c r="AH39" i="1" s="1"/>
  <c r="AI57" i="1"/>
  <c r="BP91" i="1" s="1"/>
  <c r="BQ93" i="1"/>
  <c r="AI52" i="1"/>
  <c r="BP86" i="1" s="1"/>
  <c r="AI38" i="1"/>
  <c r="AH38" i="1" s="1"/>
  <c r="AI43" i="1"/>
  <c r="BQ77" i="1"/>
  <c r="AH47" i="1"/>
  <c r="BP81" i="1"/>
  <c r="AH54" i="1"/>
  <c r="BP88" i="1"/>
  <c r="AH50" i="1"/>
  <c r="BP84" i="1"/>
  <c r="AH45" i="1"/>
  <c r="BP79" i="1"/>
  <c r="BQ95" i="1"/>
  <c r="AI61" i="1"/>
  <c r="AH48" i="1"/>
  <c r="BP82" i="1"/>
  <c r="AH36" i="1"/>
  <c r="BP70" i="1"/>
  <c r="AH59" i="1"/>
  <c r="BP93" i="1"/>
  <c r="BQ76" i="1"/>
  <c r="AI42" i="1"/>
  <c r="BQ69" i="1"/>
  <c r="AI35" i="1"/>
  <c r="AH40" i="1"/>
  <c r="BP74" i="1"/>
  <c r="AI44" i="1"/>
  <c r="BQ78" i="1"/>
  <c r="AI53" i="1"/>
  <c r="BQ87" i="1"/>
  <c r="BQ71" i="1"/>
  <c r="AI37" i="1"/>
  <c r="AI58" i="1"/>
  <c r="BQ92" i="1"/>
  <c r="BP94" i="1"/>
  <c r="AH60" i="1"/>
  <c r="AH55" i="1"/>
  <c r="BP89" i="1"/>
  <c r="EF95" i="1" l="1"/>
  <c r="EF94" i="1" s="1"/>
  <c r="EF93" i="1" s="1"/>
  <c r="EF92" i="1" s="1"/>
  <c r="EF91" i="1" s="1"/>
  <c r="EF90" i="1" s="1"/>
  <c r="EF89" i="1" s="1"/>
  <c r="EF88" i="1" s="1"/>
  <c r="EF87" i="1" s="1"/>
  <c r="EF86" i="1" s="1"/>
  <c r="EF85" i="1" s="1"/>
  <c r="EF84" i="1" s="1"/>
  <c r="EF83" i="1" s="1"/>
  <c r="EF82" i="1" s="1"/>
  <c r="EF81" i="1" s="1"/>
  <c r="EF80" i="1" s="1"/>
  <c r="EF79" i="1" s="1"/>
  <c r="EF78" i="1" s="1"/>
  <c r="EF77" i="1" s="1"/>
  <c r="EF76" i="1" s="1"/>
  <c r="EF75" i="1" s="1"/>
  <c r="EF74" i="1" s="1"/>
  <c r="EF73" i="1" s="1"/>
  <c r="EF72" i="1" s="1"/>
  <c r="EF71" i="1" s="1"/>
  <c r="EF70" i="1" s="1"/>
  <c r="BP97" i="1"/>
  <c r="BP90" i="1"/>
  <c r="BP96" i="1"/>
  <c r="BP83" i="1"/>
  <c r="AH51" i="1"/>
  <c r="BO85" i="1" s="1"/>
  <c r="AH41" i="1"/>
  <c r="BO75" i="1" s="1"/>
  <c r="AH57" i="1"/>
  <c r="AG57" i="1" s="1"/>
  <c r="BP99" i="1"/>
  <c r="BP98" i="1"/>
  <c r="EE98" i="1" s="1"/>
  <c r="EE97" i="1" s="1"/>
  <c r="BP80" i="1"/>
  <c r="BP73" i="1"/>
  <c r="AH52" i="1"/>
  <c r="BO86" i="1" s="1"/>
  <c r="BP72" i="1"/>
  <c r="AH58" i="1"/>
  <c r="BP92" i="1"/>
  <c r="AG49" i="1"/>
  <c r="BO83" i="1"/>
  <c r="AG59" i="1"/>
  <c r="BO93" i="1"/>
  <c r="AG64" i="1"/>
  <c r="BO98" i="1"/>
  <c r="ED98" i="1" s="1"/>
  <c r="AH61" i="1"/>
  <c r="BP95" i="1"/>
  <c r="AH37" i="1"/>
  <c r="BP71" i="1"/>
  <c r="AG55" i="1"/>
  <c r="BO89" i="1"/>
  <c r="AG62" i="1"/>
  <c r="BO96" i="1"/>
  <c r="AG39" i="1"/>
  <c r="BO73" i="1"/>
  <c r="BO70" i="1"/>
  <c r="AG36" i="1"/>
  <c r="AG45" i="1"/>
  <c r="BO79" i="1"/>
  <c r="BO99" i="1"/>
  <c r="AG65" i="1"/>
  <c r="AH35" i="1"/>
  <c r="BP69" i="1"/>
  <c r="AH53" i="1"/>
  <c r="BP87" i="1"/>
  <c r="AG38" i="1"/>
  <c r="BO72" i="1"/>
  <c r="BP78" i="1"/>
  <c r="AH44" i="1"/>
  <c r="AG56" i="1"/>
  <c r="BO90" i="1"/>
  <c r="AG48" i="1"/>
  <c r="BO82" i="1"/>
  <c r="AG50" i="1"/>
  <c r="BO84" i="1"/>
  <c r="AG47" i="1"/>
  <c r="BO81" i="1"/>
  <c r="AG60" i="1"/>
  <c r="BO94" i="1"/>
  <c r="BP76" i="1"/>
  <c r="AH42" i="1"/>
  <c r="AG46" i="1"/>
  <c r="BO80" i="1"/>
  <c r="AG63" i="1"/>
  <c r="BO97" i="1"/>
  <c r="AG40" i="1"/>
  <c r="BO74" i="1"/>
  <c r="AG54" i="1"/>
  <c r="BO88" i="1"/>
  <c r="AH43" i="1"/>
  <c r="BP77" i="1"/>
  <c r="EE96" i="1" l="1"/>
  <c r="EE95" i="1" s="1"/>
  <c r="EE94" i="1" s="1"/>
  <c r="EE93" i="1" s="1"/>
  <c r="EE92" i="1" s="1"/>
  <c r="EE91" i="1" s="1"/>
  <c r="EE90" i="1" s="1"/>
  <c r="EE89" i="1" s="1"/>
  <c r="EE88" i="1" s="1"/>
  <c r="EE87" i="1" s="1"/>
  <c r="EE86" i="1" s="1"/>
  <c r="EE85" i="1" s="1"/>
  <c r="EE84" i="1" s="1"/>
  <c r="EE83" i="1" s="1"/>
  <c r="EE82" i="1" s="1"/>
  <c r="EE81" i="1" s="1"/>
  <c r="EE80" i="1" s="1"/>
  <c r="EE79" i="1" s="1"/>
  <c r="EE78" i="1" s="1"/>
  <c r="EE77" i="1" s="1"/>
  <c r="EE76" i="1" s="1"/>
  <c r="EE75" i="1" s="1"/>
  <c r="EE74" i="1" s="1"/>
  <c r="EE73" i="1" s="1"/>
  <c r="EE72" i="1" s="1"/>
  <c r="EE71" i="1" s="1"/>
  <c r="EE70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EF69" i="1"/>
  <c r="AJ69" i="1"/>
  <c r="AJ70" i="1" s="1"/>
  <c r="AJ71" i="1" s="1"/>
  <c r="AJ72" i="1" s="1"/>
  <c r="AJ73" i="1" s="1"/>
  <c r="AJ74" i="1" s="1"/>
  <c r="AJ75" i="1" s="1"/>
  <c r="AJ76" i="1" s="1"/>
  <c r="AJ77" i="1" s="1"/>
  <c r="AJ78" i="1" s="1"/>
  <c r="AJ79" i="1" s="1"/>
  <c r="AJ80" i="1" s="1"/>
  <c r="AJ81" i="1" s="1"/>
  <c r="AJ82" i="1" s="1"/>
  <c r="AJ83" i="1" s="1"/>
  <c r="AJ84" i="1" s="1"/>
  <c r="AJ85" i="1" s="1"/>
  <c r="AJ86" i="1" s="1"/>
  <c r="AJ87" i="1" s="1"/>
  <c r="AJ88" i="1" s="1"/>
  <c r="AJ89" i="1" s="1"/>
  <c r="AJ90" i="1" s="1"/>
  <c r="AJ91" i="1" s="1"/>
  <c r="AJ92" i="1" s="1"/>
  <c r="AJ93" i="1" s="1"/>
  <c r="AJ94" i="1" s="1"/>
  <c r="AJ95" i="1" s="1"/>
  <c r="AJ96" i="1" s="1"/>
  <c r="AJ97" i="1" s="1"/>
  <c r="AJ98" i="1" s="1"/>
  <c r="AJ99" i="1" s="1"/>
  <c r="ED97" i="1"/>
  <c r="ED96" i="1" s="1"/>
  <c r="AG51" i="1"/>
  <c r="BN85" i="1" s="1"/>
  <c r="AG41" i="1"/>
  <c r="AF41" i="1" s="1"/>
  <c r="BO91" i="1"/>
  <c r="AG52" i="1"/>
  <c r="AF52" i="1" s="1"/>
  <c r="AF36" i="1"/>
  <c r="BN70" i="1"/>
  <c r="BN74" i="1"/>
  <c r="AF40" i="1"/>
  <c r="AF60" i="1"/>
  <c r="BN94" i="1"/>
  <c r="AF56" i="1"/>
  <c r="BN90" i="1"/>
  <c r="AF55" i="1"/>
  <c r="BN89" i="1"/>
  <c r="AF59" i="1"/>
  <c r="BN93" i="1"/>
  <c r="AG44" i="1"/>
  <c r="BO78" i="1"/>
  <c r="AF39" i="1"/>
  <c r="BN73" i="1"/>
  <c r="BN99" i="1"/>
  <c r="AF65" i="1"/>
  <c r="AG43" i="1"/>
  <c r="BO77" i="1"/>
  <c r="AF47" i="1"/>
  <c r="BN81" i="1"/>
  <c r="AG35" i="1"/>
  <c r="BO69" i="1"/>
  <c r="AF49" i="1"/>
  <c r="BN83" i="1"/>
  <c r="AF54" i="1"/>
  <c r="BN88" i="1"/>
  <c r="AF46" i="1"/>
  <c r="BN80" i="1"/>
  <c r="AF50" i="1"/>
  <c r="BN84" i="1"/>
  <c r="AF38" i="1"/>
  <c r="BN72" i="1"/>
  <c r="AF57" i="1"/>
  <c r="BN91" i="1"/>
  <c r="AG61" i="1"/>
  <c r="BO95" i="1"/>
  <c r="AG42" i="1"/>
  <c r="BO76" i="1"/>
  <c r="AF63" i="1"/>
  <c r="BN97" i="1"/>
  <c r="AG37" i="1"/>
  <c r="BO71" i="1"/>
  <c r="AF48" i="1"/>
  <c r="BN82" i="1"/>
  <c r="AG53" i="1"/>
  <c r="BO87" i="1"/>
  <c r="AF45" i="1"/>
  <c r="BN79" i="1"/>
  <c r="AF62" i="1"/>
  <c r="BN96" i="1"/>
  <c r="AF64" i="1"/>
  <c r="BN98" i="1"/>
  <c r="EC98" i="1" s="1"/>
  <c r="AG58" i="1"/>
  <c r="BO92" i="1"/>
  <c r="EC97" i="1" l="1"/>
  <c r="EC96" i="1" s="1"/>
  <c r="EE69" i="1"/>
  <c r="ED95" i="1"/>
  <c r="ED94" i="1" s="1"/>
  <c r="ED93" i="1" s="1"/>
  <c r="ED92" i="1" s="1"/>
  <c r="ED91" i="1" s="1"/>
  <c r="ED90" i="1" s="1"/>
  <c r="ED89" i="1" s="1"/>
  <c r="ED88" i="1" s="1"/>
  <c r="ED87" i="1" s="1"/>
  <c r="ED86" i="1" s="1"/>
  <c r="ED85" i="1" s="1"/>
  <c r="ED84" i="1" s="1"/>
  <c r="ED83" i="1" s="1"/>
  <c r="ED82" i="1" s="1"/>
  <c r="ED81" i="1" s="1"/>
  <c r="ED80" i="1" s="1"/>
  <c r="ED79" i="1" s="1"/>
  <c r="ED78" i="1" s="1"/>
  <c r="ED77" i="1" s="1"/>
  <c r="ED76" i="1" s="1"/>
  <c r="ED75" i="1" s="1"/>
  <c r="ED74" i="1" s="1"/>
  <c r="ED73" i="1" s="1"/>
  <c r="ED72" i="1" s="1"/>
  <c r="ED71" i="1" s="1"/>
  <c r="ED70" i="1" s="1"/>
  <c r="AH69" i="1" s="1"/>
  <c r="AH70" i="1" s="1"/>
  <c r="AH71" i="1" s="1"/>
  <c r="AH72" i="1" s="1"/>
  <c r="AH73" i="1" s="1"/>
  <c r="AH74" i="1" s="1"/>
  <c r="AH75" i="1" s="1"/>
  <c r="AH76" i="1" s="1"/>
  <c r="AH77" i="1" s="1"/>
  <c r="AH78" i="1" s="1"/>
  <c r="AH79" i="1" s="1"/>
  <c r="AH80" i="1" s="1"/>
  <c r="AH81" i="1" s="1"/>
  <c r="AH82" i="1" s="1"/>
  <c r="AH83" i="1" s="1"/>
  <c r="AH84" i="1" s="1"/>
  <c r="AH85" i="1" s="1"/>
  <c r="AH86" i="1" s="1"/>
  <c r="AH87" i="1" s="1"/>
  <c r="AH88" i="1" s="1"/>
  <c r="AH89" i="1" s="1"/>
  <c r="AH90" i="1" s="1"/>
  <c r="AH91" i="1" s="1"/>
  <c r="AH92" i="1" s="1"/>
  <c r="AH93" i="1" s="1"/>
  <c r="AH94" i="1" s="1"/>
  <c r="AH95" i="1" s="1"/>
  <c r="AH96" i="1" s="1"/>
  <c r="AH97" i="1" s="1"/>
  <c r="AH98" i="1" s="1"/>
  <c r="AH99" i="1" s="1"/>
  <c r="BN75" i="1"/>
  <c r="AF51" i="1"/>
  <c r="BM85" i="1" s="1"/>
  <c r="BN86" i="1"/>
  <c r="AE45" i="1"/>
  <c r="BM79" i="1"/>
  <c r="AF37" i="1"/>
  <c r="BN71" i="1"/>
  <c r="BN95" i="1"/>
  <c r="AF61" i="1"/>
  <c r="BM80" i="1"/>
  <c r="AE46" i="1"/>
  <c r="AE47" i="1"/>
  <c r="BM81" i="1"/>
  <c r="AF44" i="1"/>
  <c r="BN78" i="1"/>
  <c r="AE56" i="1"/>
  <c r="BM90" i="1"/>
  <c r="AF58" i="1"/>
  <c r="BN92" i="1"/>
  <c r="AF53" i="1"/>
  <c r="BN87" i="1"/>
  <c r="AE63" i="1"/>
  <c r="BM97" i="1"/>
  <c r="AE57" i="1"/>
  <c r="BM91" i="1"/>
  <c r="AE54" i="1"/>
  <c r="BM88" i="1"/>
  <c r="AF43" i="1"/>
  <c r="BN77" i="1"/>
  <c r="AE59" i="1"/>
  <c r="BM93" i="1"/>
  <c r="AE60" i="1"/>
  <c r="BM94" i="1"/>
  <c r="AE65" i="1"/>
  <c r="BM99" i="1"/>
  <c r="BM74" i="1"/>
  <c r="AE40" i="1"/>
  <c r="AE64" i="1"/>
  <c r="BM98" i="1"/>
  <c r="EB98" i="1" s="1"/>
  <c r="EB97" i="1" s="1"/>
  <c r="BM82" i="1"/>
  <c r="AE48" i="1"/>
  <c r="BN76" i="1"/>
  <c r="AF42" i="1"/>
  <c r="AE38" i="1"/>
  <c r="BM72" i="1"/>
  <c r="AE49" i="1"/>
  <c r="BM83" i="1"/>
  <c r="AE55" i="1"/>
  <c r="BM89" i="1"/>
  <c r="AE62" i="1"/>
  <c r="BM96" i="1"/>
  <c r="AE41" i="1"/>
  <c r="BM75" i="1"/>
  <c r="AE52" i="1"/>
  <c r="BM86" i="1"/>
  <c r="AE50" i="1"/>
  <c r="BM84" i="1"/>
  <c r="AF35" i="1"/>
  <c r="BN69" i="1"/>
  <c r="AE39" i="1"/>
  <c r="BM73" i="1"/>
  <c r="AE36" i="1"/>
  <c r="BM70" i="1"/>
  <c r="EC95" i="1" l="1"/>
  <c r="EC94" i="1" s="1"/>
  <c r="EC93" i="1" s="1"/>
  <c r="EC92" i="1" s="1"/>
  <c r="EC91" i="1" s="1"/>
  <c r="EC90" i="1" s="1"/>
  <c r="EC89" i="1" s="1"/>
  <c r="EC88" i="1" s="1"/>
  <c r="EC87" i="1" s="1"/>
  <c r="EC86" i="1" s="1"/>
  <c r="EC85" i="1" s="1"/>
  <c r="EC84" i="1" s="1"/>
  <c r="EC83" i="1" s="1"/>
  <c r="EC82" i="1" s="1"/>
  <c r="EC81" i="1" s="1"/>
  <c r="EC80" i="1" s="1"/>
  <c r="EC79" i="1" s="1"/>
  <c r="EC78" i="1" s="1"/>
  <c r="EC77" i="1" s="1"/>
  <c r="EC76" i="1" s="1"/>
  <c r="EC75" i="1" s="1"/>
  <c r="EC74" i="1" s="1"/>
  <c r="EC73" i="1" s="1"/>
  <c r="EC72" i="1" s="1"/>
  <c r="EC71" i="1" s="1"/>
  <c r="EC70" i="1" s="1"/>
  <c r="AG69" i="1" s="1"/>
  <c r="AG70" i="1" s="1"/>
  <c r="AG71" i="1" s="1"/>
  <c r="AG72" i="1" s="1"/>
  <c r="AG73" i="1" s="1"/>
  <c r="AG74" i="1" s="1"/>
  <c r="AG75" i="1" s="1"/>
  <c r="AG76" i="1" s="1"/>
  <c r="AG77" i="1" s="1"/>
  <c r="AG78" i="1" s="1"/>
  <c r="AG79" i="1" s="1"/>
  <c r="AG80" i="1" s="1"/>
  <c r="AG81" i="1" s="1"/>
  <c r="AG82" i="1" s="1"/>
  <c r="AG83" i="1" s="1"/>
  <c r="AG84" i="1" s="1"/>
  <c r="AG85" i="1" s="1"/>
  <c r="AG86" i="1" s="1"/>
  <c r="AG87" i="1" s="1"/>
  <c r="AG88" i="1" s="1"/>
  <c r="AG89" i="1" s="1"/>
  <c r="AG90" i="1" s="1"/>
  <c r="AG91" i="1" s="1"/>
  <c r="AG92" i="1" s="1"/>
  <c r="AG93" i="1" s="1"/>
  <c r="AG94" i="1" s="1"/>
  <c r="AG95" i="1" s="1"/>
  <c r="AG96" i="1" s="1"/>
  <c r="AG97" i="1" s="1"/>
  <c r="AG98" i="1" s="1"/>
  <c r="AG99" i="1" s="1"/>
  <c r="EB96" i="1"/>
  <c r="ED69" i="1"/>
  <c r="AE51" i="1"/>
  <c r="AD51" i="1" s="1"/>
  <c r="AE35" i="1"/>
  <c r="BM69" i="1"/>
  <c r="AD62" i="1"/>
  <c r="BL96" i="1"/>
  <c r="AD65" i="1"/>
  <c r="BL99" i="1"/>
  <c r="AD54" i="1"/>
  <c r="BL88" i="1"/>
  <c r="AE58" i="1"/>
  <c r="BM92" i="1"/>
  <c r="AD48" i="1"/>
  <c r="BL82" i="1"/>
  <c r="AE61" i="1"/>
  <c r="BM95" i="1"/>
  <c r="BL70" i="1"/>
  <c r="AD36" i="1"/>
  <c r="AD50" i="1"/>
  <c r="BL84" i="1"/>
  <c r="AD55" i="1"/>
  <c r="BL89" i="1"/>
  <c r="AD60" i="1"/>
  <c r="BL94" i="1"/>
  <c r="AD57" i="1"/>
  <c r="BL91" i="1"/>
  <c r="AD56" i="1"/>
  <c r="BL90" i="1"/>
  <c r="AD46" i="1"/>
  <c r="BL80" i="1"/>
  <c r="AD52" i="1"/>
  <c r="BL86" i="1"/>
  <c r="AD49" i="1"/>
  <c r="BL83" i="1"/>
  <c r="AD64" i="1"/>
  <c r="BL98" i="1"/>
  <c r="EA98" i="1" s="1"/>
  <c r="AD59" i="1"/>
  <c r="BL93" i="1"/>
  <c r="AD63" i="1"/>
  <c r="BL97" i="1"/>
  <c r="BM78" i="1"/>
  <c r="AE44" i="1"/>
  <c r="AE37" i="1"/>
  <c r="BM71" i="1"/>
  <c r="AE42" i="1"/>
  <c r="BM76" i="1"/>
  <c r="BL74" i="1"/>
  <c r="AD40" i="1"/>
  <c r="AD39" i="1"/>
  <c r="BL73" i="1"/>
  <c r="AD41" i="1"/>
  <c r="BL75" i="1"/>
  <c r="BL72" i="1"/>
  <c r="AD38" i="1"/>
  <c r="AE43" i="1"/>
  <c r="BM77" i="1"/>
  <c r="AE53" i="1"/>
  <c r="BM87" i="1"/>
  <c r="AD47" i="1"/>
  <c r="BL81" i="1"/>
  <c r="AD45" i="1"/>
  <c r="BL79" i="1"/>
  <c r="EA97" i="1" l="1"/>
  <c r="EA96" i="1" s="1"/>
  <c r="EC69" i="1"/>
  <c r="EB95" i="1"/>
  <c r="EB94" i="1" s="1"/>
  <c r="EB93" i="1" s="1"/>
  <c r="EB92" i="1" s="1"/>
  <c r="EB91" i="1" s="1"/>
  <c r="EB90" i="1" s="1"/>
  <c r="EB89" i="1" s="1"/>
  <c r="EB88" i="1" s="1"/>
  <c r="EB87" i="1" s="1"/>
  <c r="EB86" i="1" s="1"/>
  <c r="EB85" i="1" s="1"/>
  <c r="EB84" i="1" s="1"/>
  <c r="EB83" i="1" s="1"/>
  <c r="EB82" i="1" s="1"/>
  <c r="EB81" i="1" s="1"/>
  <c r="EB80" i="1" s="1"/>
  <c r="EB79" i="1" s="1"/>
  <c r="EB78" i="1" s="1"/>
  <c r="EB77" i="1" s="1"/>
  <c r="EB76" i="1" s="1"/>
  <c r="EB75" i="1" s="1"/>
  <c r="EB74" i="1" s="1"/>
  <c r="EB73" i="1" s="1"/>
  <c r="EB72" i="1" s="1"/>
  <c r="EB71" i="1" s="1"/>
  <c r="EB70" i="1" s="1"/>
  <c r="AF69" i="1" s="1"/>
  <c r="AF70" i="1" s="1"/>
  <c r="AF71" i="1" s="1"/>
  <c r="AF72" i="1" s="1"/>
  <c r="AF73" i="1" s="1"/>
  <c r="AF74" i="1" s="1"/>
  <c r="AF75" i="1" s="1"/>
  <c r="AF76" i="1" s="1"/>
  <c r="AF77" i="1" s="1"/>
  <c r="AF78" i="1" s="1"/>
  <c r="AF79" i="1" s="1"/>
  <c r="AF80" i="1" s="1"/>
  <c r="AF81" i="1" s="1"/>
  <c r="AF82" i="1" s="1"/>
  <c r="AF83" i="1" s="1"/>
  <c r="AF84" i="1" s="1"/>
  <c r="AF85" i="1" s="1"/>
  <c r="AF86" i="1" s="1"/>
  <c r="AF87" i="1" s="1"/>
  <c r="AF88" i="1" s="1"/>
  <c r="AF89" i="1" s="1"/>
  <c r="AF90" i="1" s="1"/>
  <c r="AF91" i="1" s="1"/>
  <c r="AF92" i="1" s="1"/>
  <c r="AF93" i="1" s="1"/>
  <c r="AF94" i="1" s="1"/>
  <c r="AF95" i="1" s="1"/>
  <c r="AF96" i="1" s="1"/>
  <c r="AF97" i="1" s="1"/>
  <c r="AF98" i="1" s="1"/>
  <c r="AF99" i="1" s="1"/>
  <c r="BL85" i="1"/>
  <c r="AC40" i="1"/>
  <c r="BK74" i="1"/>
  <c r="AC36" i="1"/>
  <c r="BK70" i="1"/>
  <c r="AD43" i="1"/>
  <c r="BL77" i="1"/>
  <c r="AC63" i="1"/>
  <c r="BK97" i="1"/>
  <c r="AC52" i="1"/>
  <c r="BK86" i="1"/>
  <c r="AC57" i="1"/>
  <c r="BK91" i="1"/>
  <c r="AC54" i="1"/>
  <c r="BK88" i="1"/>
  <c r="AC51" i="1"/>
  <c r="BK85" i="1"/>
  <c r="AC59" i="1"/>
  <c r="BK93" i="1"/>
  <c r="AD61" i="1"/>
  <c r="BL95" i="1"/>
  <c r="BK81" i="1"/>
  <c r="AC47" i="1"/>
  <c r="AC41" i="1"/>
  <c r="BK75" i="1"/>
  <c r="AD37" i="1"/>
  <c r="BL71" i="1"/>
  <c r="AC64" i="1"/>
  <c r="BK98" i="1"/>
  <c r="DZ98" i="1" s="1"/>
  <c r="BK80" i="1"/>
  <c r="AC46" i="1"/>
  <c r="AC55" i="1"/>
  <c r="BK89" i="1"/>
  <c r="AC48" i="1"/>
  <c r="BK82" i="1"/>
  <c r="BK96" i="1"/>
  <c r="AC62" i="1"/>
  <c r="AC38" i="1"/>
  <c r="BK72" i="1"/>
  <c r="AC45" i="1"/>
  <c r="BK79" i="1"/>
  <c r="BK99" i="1"/>
  <c r="AC65" i="1"/>
  <c r="BL78" i="1"/>
  <c r="AD44" i="1"/>
  <c r="AD42" i="1"/>
  <c r="BL76" i="1"/>
  <c r="AC60" i="1"/>
  <c r="BK94" i="1"/>
  <c r="AD53" i="1"/>
  <c r="BL87" i="1"/>
  <c r="AC39" i="1"/>
  <c r="BK73" i="1"/>
  <c r="AC49" i="1"/>
  <c r="BK83" i="1"/>
  <c r="AC56" i="1"/>
  <c r="BK90" i="1"/>
  <c r="AC50" i="1"/>
  <c r="BK84" i="1"/>
  <c r="AD58" i="1"/>
  <c r="BL92" i="1"/>
  <c r="AD35" i="1"/>
  <c r="BL69" i="1"/>
  <c r="DZ97" i="1" l="1"/>
  <c r="DZ96" i="1" s="1"/>
  <c r="EB69" i="1"/>
  <c r="EA95" i="1"/>
  <c r="EA94" i="1" s="1"/>
  <c r="EA93" i="1" s="1"/>
  <c r="EA92" i="1" s="1"/>
  <c r="EA91" i="1" s="1"/>
  <c r="EA90" i="1" s="1"/>
  <c r="EA89" i="1" s="1"/>
  <c r="EA88" i="1" s="1"/>
  <c r="EA87" i="1" s="1"/>
  <c r="EA86" i="1" s="1"/>
  <c r="EA85" i="1" s="1"/>
  <c r="EA84" i="1" s="1"/>
  <c r="EA83" i="1" s="1"/>
  <c r="EA82" i="1" s="1"/>
  <c r="EA81" i="1" s="1"/>
  <c r="EA80" i="1" s="1"/>
  <c r="EA79" i="1" s="1"/>
  <c r="EA78" i="1" s="1"/>
  <c r="EA77" i="1" s="1"/>
  <c r="EA76" i="1" s="1"/>
  <c r="EA75" i="1" s="1"/>
  <c r="EA74" i="1" s="1"/>
  <c r="EA73" i="1" s="1"/>
  <c r="EA72" i="1" s="1"/>
  <c r="EA71" i="1" s="1"/>
  <c r="EA70" i="1" s="1"/>
  <c r="AE69" i="1" s="1"/>
  <c r="AE70" i="1" s="1"/>
  <c r="AE71" i="1" s="1"/>
  <c r="AE72" i="1" s="1"/>
  <c r="AE73" i="1" s="1"/>
  <c r="AE74" i="1" s="1"/>
  <c r="AE75" i="1" s="1"/>
  <c r="AE76" i="1" s="1"/>
  <c r="AE77" i="1" s="1"/>
  <c r="AE78" i="1" s="1"/>
  <c r="AE79" i="1" s="1"/>
  <c r="AE80" i="1" s="1"/>
  <c r="AE81" i="1" s="1"/>
  <c r="AE82" i="1" s="1"/>
  <c r="AE83" i="1" s="1"/>
  <c r="AE84" i="1" s="1"/>
  <c r="AE85" i="1" s="1"/>
  <c r="AE86" i="1" s="1"/>
  <c r="AE87" i="1" s="1"/>
  <c r="AE88" i="1" s="1"/>
  <c r="AE89" i="1" s="1"/>
  <c r="AE90" i="1" s="1"/>
  <c r="AE91" i="1" s="1"/>
  <c r="AE92" i="1" s="1"/>
  <c r="AE93" i="1" s="1"/>
  <c r="AE94" i="1" s="1"/>
  <c r="AE95" i="1" s="1"/>
  <c r="AE96" i="1" s="1"/>
  <c r="AE97" i="1" s="1"/>
  <c r="AE98" i="1" s="1"/>
  <c r="AE99" i="1" s="1"/>
  <c r="AB46" i="1"/>
  <c r="BJ80" i="1"/>
  <c r="BJ81" i="1"/>
  <c r="AB47" i="1"/>
  <c r="AB45" i="1"/>
  <c r="BJ79" i="1"/>
  <c r="AC35" i="1"/>
  <c r="BK69" i="1"/>
  <c r="AB49" i="1"/>
  <c r="BJ83" i="1"/>
  <c r="BK76" i="1"/>
  <c r="AC42" i="1"/>
  <c r="AB38" i="1"/>
  <c r="BJ72" i="1"/>
  <c r="AB54" i="1"/>
  <c r="BJ88" i="1"/>
  <c r="AC43" i="1"/>
  <c r="BK77" i="1"/>
  <c r="AB41" i="1"/>
  <c r="BJ75" i="1"/>
  <c r="AC44" i="1"/>
  <c r="BK78" i="1"/>
  <c r="AB62" i="1"/>
  <c r="BJ96" i="1"/>
  <c r="AB56" i="1"/>
  <c r="BJ90" i="1"/>
  <c r="AB51" i="1"/>
  <c r="BJ85" i="1"/>
  <c r="AC58" i="1"/>
  <c r="BK92" i="1"/>
  <c r="AB39" i="1"/>
  <c r="BJ73" i="1"/>
  <c r="AB64" i="1"/>
  <c r="BJ98" i="1"/>
  <c r="DY98" i="1" s="1"/>
  <c r="AC61" i="1"/>
  <c r="BK95" i="1"/>
  <c r="AB57" i="1"/>
  <c r="BJ91" i="1"/>
  <c r="AB36" i="1"/>
  <c r="BJ70" i="1"/>
  <c r="AB63" i="1"/>
  <c r="BJ97" i="1"/>
  <c r="AB65" i="1"/>
  <c r="BJ99" i="1"/>
  <c r="AB60" i="1"/>
  <c r="BJ94" i="1"/>
  <c r="AB55" i="1"/>
  <c r="BJ89" i="1"/>
  <c r="AB50" i="1"/>
  <c r="BJ84" i="1"/>
  <c r="AC53" i="1"/>
  <c r="BK87" i="1"/>
  <c r="AB48" i="1"/>
  <c r="BJ82" i="1"/>
  <c r="AC37" i="1"/>
  <c r="BK71" i="1"/>
  <c r="BJ93" i="1"/>
  <c r="AB59" i="1"/>
  <c r="AB52" i="1"/>
  <c r="BJ86" i="1"/>
  <c r="BJ74" i="1"/>
  <c r="AB40" i="1"/>
  <c r="DY97" i="1" l="1"/>
  <c r="DY96" i="1" s="1"/>
  <c r="EA69" i="1"/>
  <c r="DZ95" i="1"/>
  <c r="DZ94" i="1" s="1"/>
  <c r="DZ93" i="1" s="1"/>
  <c r="DZ92" i="1" s="1"/>
  <c r="DZ91" i="1" s="1"/>
  <c r="DZ90" i="1" s="1"/>
  <c r="DZ89" i="1" s="1"/>
  <c r="DZ88" i="1" s="1"/>
  <c r="DZ87" i="1" s="1"/>
  <c r="DZ86" i="1" s="1"/>
  <c r="DZ85" i="1" s="1"/>
  <c r="DZ84" i="1" s="1"/>
  <c r="DZ83" i="1" s="1"/>
  <c r="DZ82" i="1" s="1"/>
  <c r="DZ81" i="1" s="1"/>
  <c r="DZ80" i="1" s="1"/>
  <c r="DZ79" i="1" s="1"/>
  <c r="DZ78" i="1" s="1"/>
  <c r="DZ77" i="1" s="1"/>
  <c r="DZ76" i="1" s="1"/>
  <c r="DZ75" i="1" s="1"/>
  <c r="DZ74" i="1" s="1"/>
  <c r="DZ73" i="1" s="1"/>
  <c r="DZ72" i="1" s="1"/>
  <c r="DZ71" i="1" s="1"/>
  <c r="DZ70" i="1" s="1"/>
  <c r="AD69" i="1" s="1"/>
  <c r="AD70" i="1" s="1"/>
  <c r="AD71" i="1" s="1"/>
  <c r="AD72" i="1" s="1"/>
  <c r="AD73" i="1" s="1"/>
  <c r="AD74" i="1" s="1"/>
  <c r="AD75" i="1" s="1"/>
  <c r="AD76" i="1" s="1"/>
  <c r="AD77" i="1" s="1"/>
  <c r="AD78" i="1" s="1"/>
  <c r="AD79" i="1" s="1"/>
  <c r="AD80" i="1" s="1"/>
  <c r="AD81" i="1" s="1"/>
  <c r="AD82" i="1" s="1"/>
  <c r="AD83" i="1" s="1"/>
  <c r="AD84" i="1" s="1"/>
  <c r="AD85" i="1" s="1"/>
  <c r="AD86" i="1" s="1"/>
  <c r="AD87" i="1" s="1"/>
  <c r="AD88" i="1" s="1"/>
  <c r="AD89" i="1" s="1"/>
  <c r="AD90" i="1" s="1"/>
  <c r="AD91" i="1" s="1"/>
  <c r="AD92" i="1" s="1"/>
  <c r="AD93" i="1" s="1"/>
  <c r="AD94" i="1" s="1"/>
  <c r="AD95" i="1" s="1"/>
  <c r="AD96" i="1" s="1"/>
  <c r="AD97" i="1" s="1"/>
  <c r="AD98" i="1" s="1"/>
  <c r="AD99" i="1" s="1"/>
  <c r="AB37" i="1"/>
  <c r="BJ71" i="1"/>
  <c r="AA55" i="1"/>
  <c r="BI89" i="1"/>
  <c r="BI70" i="1"/>
  <c r="AA36" i="1"/>
  <c r="AA39" i="1"/>
  <c r="BI73" i="1"/>
  <c r="AA62" i="1"/>
  <c r="BI96" i="1"/>
  <c r="AA54" i="1"/>
  <c r="BI88" i="1"/>
  <c r="AB35" i="1"/>
  <c r="BJ69" i="1"/>
  <c r="AB58" i="1"/>
  <c r="BJ92" i="1"/>
  <c r="AB44" i="1"/>
  <c r="BJ78" i="1"/>
  <c r="AB42" i="1"/>
  <c r="BJ76" i="1"/>
  <c r="AA47" i="1"/>
  <c r="BI81" i="1"/>
  <c r="AA48" i="1"/>
  <c r="BI82" i="1"/>
  <c r="AA60" i="1"/>
  <c r="BI94" i="1"/>
  <c r="BI79" i="1"/>
  <c r="AA45" i="1"/>
  <c r="AA52" i="1"/>
  <c r="BI86" i="1"/>
  <c r="AB53" i="1"/>
  <c r="BJ87" i="1"/>
  <c r="AA65" i="1"/>
  <c r="BI99" i="1"/>
  <c r="BJ95" i="1"/>
  <c r="AB61" i="1"/>
  <c r="AA51" i="1"/>
  <c r="BI85" i="1"/>
  <c r="AA41" i="1"/>
  <c r="BI75" i="1"/>
  <c r="AA57" i="1"/>
  <c r="BI91" i="1"/>
  <c r="AA59" i="1"/>
  <c r="BI93" i="1"/>
  <c r="BI74" i="1"/>
  <c r="AA40" i="1"/>
  <c r="AA38" i="1"/>
  <c r="BI72" i="1"/>
  <c r="AA50" i="1"/>
  <c r="BI84" i="1"/>
  <c r="AA63" i="1"/>
  <c r="BI97" i="1"/>
  <c r="AA64" i="1"/>
  <c r="BI98" i="1"/>
  <c r="DX98" i="1" s="1"/>
  <c r="AA56" i="1"/>
  <c r="BI90" i="1"/>
  <c r="AB43" i="1"/>
  <c r="BJ77" i="1"/>
  <c r="AA49" i="1"/>
  <c r="BI83" i="1"/>
  <c r="BI80" i="1"/>
  <c r="AA46" i="1"/>
  <c r="DY95" i="1" l="1"/>
  <c r="DY94" i="1" s="1"/>
  <c r="DY93" i="1" s="1"/>
  <c r="DY92" i="1" s="1"/>
  <c r="DY91" i="1" s="1"/>
  <c r="DY90" i="1" s="1"/>
  <c r="DY89" i="1" s="1"/>
  <c r="DY88" i="1" s="1"/>
  <c r="DY87" i="1" s="1"/>
  <c r="DY86" i="1" s="1"/>
  <c r="DY85" i="1" s="1"/>
  <c r="DY84" i="1" s="1"/>
  <c r="DY83" i="1" s="1"/>
  <c r="DY82" i="1" s="1"/>
  <c r="DY81" i="1" s="1"/>
  <c r="DY80" i="1" s="1"/>
  <c r="DY79" i="1" s="1"/>
  <c r="DY78" i="1" s="1"/>
  <c r="DY77" i="1" s="1"/>
  <c r="DY76" i="1" s="1"/>
  <c r="DY75" i="1" s="1"/>
  <c r="DY74" i="1" s="1"/>
  <c r="DY73" i="1" s="1"/>
  <c r="DY72" i="1" s="1"/>
  <c r="DY71" i="1" s="1"/>
  <c r="DY70" i="1" s="1"/>
  <c r="AC69" i="1" s="1"/>
  <c r="AC70" i="1" s="1"/>
  <c r="AC71" i="1" s="1"/>
  <c r="AC72" i="1" s="1"/>
  <c r="AC73" i="1" s="1"/>
  <c r="AC74" i="1" s="1"/>
  <c r="AC75" i="1" s="1"/>
  <c r="AC76" i="1" s="1"/>
  <c r="AC77" i="1" s="1"/>
  <c r="AC78" i="1" s="1"/>
  <c r="AC79" i="1" s="1"/>
  <c r="AC80" i="1" s="1"/>
  <c r="AC81" i="1" s="1"/>
  <c r="AC82" i="1" s="1"/>
  <c r="AC83" i="1" s="1"/>
  <c r="AC84" i="1" s="1"/>
  <c r="AC85" i="1" s="1"/>
  <c r="AC86" i="1" s="1"/>
  <c r="AC87" i="1" s="1"/>
  <c r="AC88" i="1" s="1"/>
  <c r="AC89" i="1" s="1"/>
  <c r="AC90" i="1" s="1"/>
  <c r="AC91" i="1" s="1"/>
  <c r="AC92" i="1" s="1"/>
  <c r="AC93" i="1" s="1"/>
  <c r="AC94" i="1" s="1"/>
  <c r="AC95" i="1" s="1"/>
  <c r="AC96" i="1" s="1"/>
  <c r="AC97" i="1" s="1"/>
  <c r="AC98" i="1" s="1"/>
  <c r="AC99" i="1" s="1"/>
  <c r="DX97" i="1"/>
  <c r="DX96" i="1" s="1"/>
  <c r="DZ69" i="1"/>
  <c r="BH75" i="1"/>
  <c r="Z41" i="1"/>
  <c r="BH98" i="1"/>
  <c r="DW98" i="1" s="1"/>
  <c r="Z64" i="1"/>
  <c r="Z51" i="1"/>
  <c r="BH85" i="1"/>
  <c r="Z52" i="1"/>
  <c r="BH86" i="1"/>
  <c r="BH81" i="1"/>
  <c r="Z47" i="1"/>
  <c r="AA35" i="1"/>
  <c r="BI69" i="1"/>
  <c r="Z39" i="1"/>
  <c r="BH73" i="1"/>
  <c r="AA61" i="1"/>
  <c r="BI95" i="1"/>
  <c r="BH79" i="1"/>
  <c r="Z45" i="1"/>
  <c r="BH72" i="1"/>
  <c r="Z38" i="1"/>
  <c r="AA58" i="1"/>
  <c r="BI92" i="1"/>
  <c r="Z40" i="1"/>
  <c r="BH74" i="1"/>
  <c r="Z36" i="1"/>
  <c r="BH70" i="1"/>
  <c r="Z49" i="1"/>
  <c r="BH83" i="1"/>
  <c r="Z63" i="1"/>
  <c r="BH97" i="1"/>
  <c r="Z59" i="1"/>
  <c r="BH93" i="1"/>
  <c r="BI76" i="1"/>
  <c r="AA42" i="1"/>
  <c r="Z54" i="1"/>
  <c r="BH88" i="1"/>
  <c r="Z55" i="1"/>
  <c r="BH89" i="1"/>
  <c r="AA53" i="1"/>
  <c r="BI87" i="1"/>
  <c r="BH80" i="1"/>
  <c r="Z46" i="1"/>
  <c r="Z56" i="1"/>
  <c r="BH90" i="1"/>
  <c r="Z48" i="1"/>
  <c r="BH82" i="1"/>
  <c r="BI77" i="1"/>
  <c r="AA43" i="1"/>
  <c r="Z50" i="1"/>
  <c r="BH84" i="1"/>
  <c r="Z57" i="1"/>
  <c r="BH91" i="1"/>
  <c r="BH99" i="1"/>
  <c r="Z65" i="1"/>
  <c r="Z60" i="1"/>
  <c r="BH94" i="1"/>
  <c r="AA44" i="1"/>
  <c r="BI78" i="1"/>
  <c r="Z62" i="1"/>
  <c r="BH96" i="1"/>
  <c r="AA37" i="1"/>
  <c r="BI71" i="1"/>
  <c r="DW97" i="1" l="1"/>
  <c r="DW96" i="1" s="1"/>
  <c r="DY69" i="1"/>
  <c r="DX95" i="1"/>
  <c r="DX94" i="1" s="1"/>
  <c r="DX93" i="1" s="1"/>
  <c r="DX92" i="1" s="1"/>
  <c r="DX91" i="1" s="1"/>
  <c r="DX90" i="1" s="1"/>
  <c r="DX89" i="1" s="1"/>
  <c r="DX88" i="1" s="1"/>
  <c r="DX87" i="1" s="1"/>
  <c r="DX86" i="1" s="1"/>
  <c r="DX85" i="1" s="1"/>
  <c r="DX84" i="1" s="1"/>
  <c r="DX83" i="1" s="1"/>
  <c r="DX82" i="1" s="1"/>
  <c r="DX81" i="1" s="1"/>
  <c r="DX80" i="1" s="1"/>
  <c r="DX79" i="1" s="1"/>
  <c r="DX78" i="1" s="1"/>
  <c r="DX77" i="1" s="1"/>
  <c r="DX76" i="1" s="1"/>
  <c r="DX75" i="1" s="1"/>
  <c r="DX74" i="1" s="1"/>
  <c r="DX73" i="1" s="1"/>
  <c r="DX72" i="1" s="1"/>
  <c r="DX71" i="1" s="1"/>
  <c r="DX70" i="1" s="1"/>
  <c r="AB69" i="1" s="1"/>
  <c r="AB70" i="1" s="1"/>
  <c r="AB71" i="1" s="1"/>
  <c r="AB72" i="1" s="1"/>
  <c r="AB73" i="1" s="1"/>
  <c r="AB74" i="1" s="1"/>
  <c r="AB75" i="1" s="1"/>
  <c r="AB76" i="1" s="1"/>
  <c r="AB77" i="1" s="1"/>
  <c r="AB78" i="1" s="1"/>
  <c r="AB79" i="1" s="1"/>
  <c r="AB80" i="1" s="1"/>
  <c r="AB81" i="1" s="1"/>
  <c r="AB82" i="1" s="1"/>
  <c r="AB83" i="1" s="1"/>
  <c r="AB84" i="1" s="1"/>
  <c r="AB85" i="1" s="1"/>
  <c r="AB86" i="1" s="1"/>
  <c r="AB87" i="1" s="1"/>
  <c r="AB88" i="1" s="1"/>
  <c r="AB89" i="1" s="1"/>
  <c r="AB90" i="1" s="1"/>
  <c r="AB91" i="1" s="1"/>
  <c r="AB92" i="1" s="1"/>
  <c r="AB93" i="1" s="1"/>
  <c r="AB94" i="1" s="1"/>
  <c r="AB95" i="1" s="1"/>
  <c r="AB96" i="1" s="1"/>
  <c r="AB97" i="1" s="1"/>
  <c r="AB98" i="1" s="1"/>
  <c r="AB99" i="1" s="1"/>
  <c r="Y60" i="1"/>
  <c r="BG94" i="1"/>
  <c r="BH87" i="1"/>
  <c r="Z53" i="1"/>
  <c r="Y40" i="1"/>
  <c r="BG74" i="1"/>
  <c r="Z61" i="1"/>
  <c r="BH95" i="1"/>
  <c r="BG99" i="1"/>
  <c r="Y65" i="1"/>
  <c r="Z43" i="1"/>
  <c r="BH77" i="1"/>
  <c r="BG93" i="1"/>
  <c r="Y59" i="1"/>
  <c r="BG86" i="1"/>
  <c r="Y52" i="1"/>
  <c r="Z37" i="1"/>
  <c r="BH71" i="1"/>
  <c r="BG82" i="1"/>
  <c r="Y48" i="1"/>
  <c r="Y55" i="1"/>
  <c r="BG89" i="1"/>
  <c r="Y63" i="1"/>
  <c r="BG97" i="1"/>
  <c r="Z58" i="1"/>
  <c r="BH92" i="1"/>
  <c r="Y39" i="1"/>
  <c r="BG73" i="1"/>
  <c r="BG85" i="1"/>
  <c r="Y51" i="1"/>
  <c r="Y38" i="1"/>
  <c r="BG72" i="1"/>
  <c r="Y64" i="1"/>
  <c r="BG98" i="1"/>
  <c r="DV98" i="1" s="1"/>
  <c r="Y62" i="1"/>
  <c r="BG96" i="1"/>
  <c r="Y57" i="1"/>
  <c r="BG91" i="1"/>
  <c r="Y56" i="1"/>
  <c r="BG90" i="1"/>
  <c r="Y54" i="1"/>
  <c r="BG88" i="1"/>
  <c r="Y49" i="1"/>
  <c r="BG83" i="1"/>
  <c r="Z35" i="1"/>
  <c r="BH69" i="1"/>
  <c r="Y46" i="1"/>
  <c r="BG80" i="1"/>
  <c r="Z42" i="1"/>
  <c r="BH76" i="1"/>
  <c r="BG79" i="1"/>
  <c r="Y45" i="1"/>
  <c r="BG81" i="1"/>
  <c r="Y47" i="1"/>
  <c r="Y41" i="1"/>
  <c r="BG75" i="1"/>
  <c r="BH78" i="1"/>
  <c r="Z44" i="1"/>
  <c r="Y50" i="1"/>
  <c r="BG84" i="1"/>
  <c r="Y36" i="1"/>
  <c r="BG70" i="1"/>
  <c r="DW95" i="1" l="1"/>
  <c r="DW94" i="1" s="1"/>
  <c r="DW93" i="1" s="1"/>
  <c r="DW92" i="1" s="1"/>
  <c r="DW91" i="1" s="1"/>
  <c r="DW90" i="1" s="1"/>
  <c r="DW89" i="1" s="1"/>
  <c r="DW88" i="1" s="1"/>
  <c r="DW87" i="1" s="1"/>
  <c r="DW86" i="1" s="1"/>
  <c r="DW85" i="1" s="1"/>
  <c r="DW84" i="1" s="1"/>
  <c r="DW83" i="1" s="1"/>
  <c r="DW82" i="1" s="1"/>
  <c r="DW81" i="1" s="1"/>
  <c r="DW80" i="1" s="1"/>
  <c r="DW79" i="1" s="1"/>
  <c r="DW78" i="1" s="1"/>
  <c r="DW77" i="1" s="1"/>
  <c r="DW76" i="1" s="1"/>
  <c r="DW75" i="1" s="1"/>
  <c r="DW74" i="1" s="1"/>
  <c r="DW73" i="1" s="1"/>
  <c r="DW72" i="1" s="1"/>
  <c r="DW71" i="1" s="1"/>
  <c r="DW70" i="1" s="1"/>
  <c r="AA69" i="1" s="1"/>
  <c r="AA70" i="1" s="1"/>
  <c r="AA71" i="1" s="1"/>
  <c r="AA72" i="1" s="1"/>
  <c r="AA73" i="1" s="1"/>
  <c r="AA74" i="1" s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AA94" i="1" s="1"/>
  <c r="AA95" i="1" s="1"/>
  <c r="AA96" i="1" s="1"/>
  <c r="AA97" i="1" s="1"/>
  <c r="AA98" i="1" s="1"/>
  <c r="AA99" i="1" s="1"/>
  <c r="DV97" i="1"/>
  <c r="DV96" i="1" s="1"/>
  <c r="DX69" i="1"/>
  <c r="X47" i="1"/>
  <c r="BF81" i="1"/>
  <c r="X51" i="1"/>
  <c r="BF85" i="1"/>
  <c r="BF93" i="1"/>
  <c r="X59" i="1"/>
  <c r="BF80" i="1"/>
  <c r="X46" i="1"/>
  <c r="BF70" i="1"/>
  <c r="X36" i="1"/>
  <c r="Y35" i="1"/>
  <c r="BG69" i="1"/>
  <c r="X57" i="1"/>
  <c r="BF91" i="1"/>
  <c r="X55" i="1"/>
  <c r="BF89" i="1"/>
  <c r="X40" i="1"/>
  <c r="BF74" i="1"/>
  <c r="X52" i="1"/>
  <c r="BF86" i="1"/>
  <c r="X41" i="1"/>
  <c r="BF75" i="1"/>
  <c r="BG95" i="1"/>
  <c r="Y61" i="1"/>
  <c r="X45" i="1"/>
  <c r="BF79" i="1"/>
  <c r="X48" i="1"/>
  <c r="BF82" i="1"/>
  <c r="Y53" i="1"/>
  <c r="BG87" i="1"/>
  <c r="X56" i="1"/>
  <c r="BF90" i="1"/>
  <c r="X38" i="1"/>
  <c r="BF72" i="1"/>
  <c r="X50" i="1"/>
  <c r="BF84" i="1"/>
  <c r="X49" i="1"/>
  <c r="BF83" i="1"/>
  <c r="X62" i="1"/>
  <c r="BF96" i="1"/>
  <c r="X39" i="1"/>
  <c r="BF73" i="1"/>
  <c r="Y43" i="1"/>
  <c r="BG77" i="1"/>
  <c r="Y44" i="1"/>
  <c r="BG78" i="1"/>
  <c r="X65" i="1"/>
  <c r="BF99" i="1"/>
  <c r="X63" i="1"/>
  <c r="BF97" i="1"/>
  <c r="Y42" i="1"/>
  <c r="BG76" i="1"/>
  <c r="X54" i="1"/>
  <c r="BF88" i="1"/>
  <c r="X64" i="1"/>
  <c r="BF98" i="1"/>
  <c r="DU98" i="1" s="1"/>
  <c r="Y58" i="1"/>
  <c r="BG92" i="1"/>
  <c r="BG71" i="1"/>
  <c r="Y37" i="1"/>
  <c r="X60" i="1"/>
  <c r="BF94" i="1"/>
  <c r="DW69" i="1" l="1"/>
  <c r="DU97" i="1"/>
  <c r="DU96" i="1" s="1"/>
  <c r="DV95" i="1"/>
  <c r="DV94" i="1" s="1"/>
  <c r="DV93" i="1" s="1"/>
  <c r="DV92" i="1" s="1"/>
  <c r="DV91" i="1" s="1"/>
  <c r="DV90" i="1" s="1"/>
  <c r="DV89" i="1" s="1"/>
  <c r="DV88" i="1" s="1"/>
  <c r="DV87" i="1" s="1"/>
  <c r="DV86" i="1" s="1"/>
  <c r="DV85" i="1" s="1"/>
  <c r="DV84" i="1" s="1"/>
  <c r="DV83" i="1" s="1"/>
  <c r="DV82" i="1" s="1"/>
  <c r="DV81" i="1" s="1"/>
  <c r="DV80" i="1" s="1"/>
  <c r="DV79" i="1" s="1"/>
  <c r="DV78" i="1" s="1"/>
  <c r="DV77" i="1" s="1"/>
  <c r="DV76" i="1" s="1"/>
  <c r="DV75" i="1" s="1"/>
  <c r="DV74" i="1" s="1"/>
  <c r="DV73" i="1" s="1"/>
  <c r="DV72" i="1" s="1"/>
  <c r="DV71" i="1" s="1"/>
  <c r="DV70" i="1" s="1"/>
  <c r="Z69" i="1" s="1"/>
  <c r="Z70" i="1" s="1"/>
  <c r="Z71" i="1" s="1"/>
  <c r="Z72" i="1" s="1"/>
  <c r="Z73" i="1" s="1"/>
  <c r="Z74" i="1" s="1"/>
  <c r="Z75" i="1" s="1"/>
  <c r="Z76" i="1" s="1"/>
  <c r="Z77" i="1" s="1"/>
  <c r="Z78" i="1" s="1"/>
  <c r="Z79" i="1" s="1"/>
  <c r="Z80" i="1" s="1"/>
  <c r="Z81" i="1" s="1"/>
  <c r="Z82" i="1" s="1"/>
  <c r="Z83" i="1" s="1"/>
  <c r="Z84" i="1" s="1"/>
  <c r="Z85" i="1" s="1"/>
  <c r="Z86" i="1" s="1"/>
  <c r="Z87" i="1" s="1"/>
  <c r="Z88" i="1" s="1"/>
  <c r="Z89" i="1" s="1"/>
  <c r="Z90" i="1" s="1"/>
  <c r="Z91" i="1" s="1"/>
  <c r="Z92" i="1" s="1"/>
  <c r="Z93" i="1" s="1"/>
  <c r="Z94" i="1" s="1"/>
  <c r="Z95" i="1" s="1"/>
  <c r="Z96" i="1" s="1"/>
  <c r="Z97" i="1" s="1"/>
  <c r="Z98" i="1" s="1"/>
  <c r="Z99" i="1" s="1"/>
  <c r="X61" i="1"/>
  <c r="BF95" i="1"/>
  <c r="BE80" i="1"/>
  <c r="W46" i="1"/>
  <c r="BE98" i="1"/>
  <c r="DT98" i="1" s="1"/>
  <c r="W64" i="1"/>
  <c r="W65" i="1"/>
  <c r="BE99" i="1"/>
  <c r="W62" i="1"/>
  <c r="BE96" i="1"/>
  <c r="W56" i="1"/>
  <c r="BE90" i="1"/>
  <c r="W55" i="1"/>
  <c r="BE89" i="1"/>
  <c r="W59" i="1"/>
  <c r="BE93" i="1"/>
  <c r="W60" i="1"/>
  <c r="BE94" i="1"/>
  <c r="W54" i="1"/>
  <c r="BE88" i="1"/>
  <c r="X44" i="1"/>
  <c r="BF78" i="1"/>
  <c r="W49" i="1"/>
  <c r="BE83" i="1"/>
  <c r="X53" i="1"/>
  <c r="BF87" i="1"/>
  <c r="W41" i="1"/>
  <c r="BE75" i="1"/>
  <c r="W57" i="1"/>
  <c r="BE91" i="1"/>
  <c r="X37" i="1"/>
  <c r="BF71" i="1"/>
  <c r="X42" i="1"/>
  <c r="BF76" i="1"/>
  <c r="X43" i="1"/>
  <c r="BF77" i="1"/>
  <c r="W50" i="1"/>
  <c r="BE84" i="1"/>
  <c r="BE82" i="1"/>
  <c r="W48" i="1"/>
  <c r="W52" i="1"/>
  <c r="BE86" i="1"/>
  <c r="X35" i="1"/>
  <c r="BF69" i="1"/>
  <c r="W51" i="1"/>
  <c r="BE85" i="1"/>
  <c r="BE70" i="1"/>
  <c r="W36" i="1"/>
  <c r="X58" i="1"/>
  <c r="BF92" i="1"/>
  <c r="W63" i="1"/>
  <c r="BE97" i="1"/>
  <c r="W39" i="1"/>
  <c r="BE73" i="1"/>
  <c r="W38" i="1"/>
  <c r="BE72" i="1"/>
  <c r="BE79" i="1"/>
  <c r="W45" i="1"/>
  <c r="W40" i="1"/>
  <c r="BE74" i="1"/>
  <c r="W47" i="1"/>
  <c r="BE81" i="1"/>
  <c r="DU95" i="1" l="1"/>
  <c r="DU94" i="1" s="1"/>
  <c r="DU93" i="1" s="1"/>
  <c r="DU92" i="1" s="1"/>
  <c r="DU91" i="1" s="1"/>
  <c r="DU90" i="1" s="1"/>
  <c r="DU89" i="1" s="1"/>
  <c r="DU88" i="1" s="1"/>
  <c r="DU87" i="1" s="1"/>
  <c r="DU86" i="1" s="1"/>
  <c r="DU85" i="1" s="1"/>
  <c r="DU84" i="1" s="1"/>
  <c r="DU83" i="1" s="1"/>
  <c r="DU82" i="1" s="1"/>
  <c r="DU81" i="1" s="1"/>
  <c r="DU80" i="1" s="1"/>
  <c r="DU79" i="1" s="1"/>
  <c r="DU78" i="1" s="1"/>
  <c r="DU77" i="1" s="1"/>
  <c r="DU76" i="1" s="1"/>
  <c r="DU75" i="1" s="1"/>
  <c r="DU74" i="1" s="1"/>
  <c r="DU73" i="1" s="1"/>
  <c r="DU72" i="1" s="1"/>
  <c r="DU71" i="1" s="1"/>
  <c r="DU70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DT97" i="1"/>
  <c r="DT96" i="1" s="1"/>
  <c r="DV69" i="1"/>
  <c r="V38" i="1"/>
  <c r="BD72" i="1"/>
  <c r="BE71" i="1"/>
  <c r="W37" i="1"/>
  <c r="V49" i="1"/>
  <c r="BD83" i="1"/>
  <c r="BD93" i="1"/>
  <c r="V59" i="1"/>
  <c r="V65" i="1"/>
  <c r="BD99" i="1"/>
  <c r="V64" i="1"/>
  <c r="BD98" i="1"/>
  <c r="DS98" i="1" s="1"/>
  <c r="V47" i="1"/>
  <c r="BD81" i="1"/>
  <c r="V39" i="1"/>
  <c r="BD73" i="1"/>
  <c r="V51" i="1"/>
  <c r="BD85" i="1"/>
  <c r="V50" i="1"/>
  <c r="BD84" i="1"/>
  <c r="V57" i="1"/>
  <c r="BD91" i="1"/>
  <c r="W44" i="1"/>
  <c r="BE78" i="1"/>
  <c r="V55" i="1"/>
  <c r="BD89" i="1"/>
  <c r="V36" i="1"/>
  <c r="BD70" i="1"/>
  <c r="V46" i="1"/>
  <c r="BD80" i="1"/>
  <c r="V48" i="1"/>
  <c r="BD82" i="1"/>
  <c r="V40" i="1"/>
  <c r="BD74" i="1"/>
  <c r="BD97" i="1"/>
  <c r="V63" i="1"/>
  <c r="BE69" i="1"/>
  <c r="W35" i="1"/>
  <c r="W43" i="1"/>
  <c r="BE77" i="1"/>
  <c r="V41" i="1"/>
  <c r="BD75" i="1"/>
  <c r="V54" i="1"/>
  <c r="BD88" i="1"/>
  <c r="V56" i="1"/>
  <c r="BD90" i="1"/>
  <c r="V45" i="1"/>
  <c r="BD79" i="1"/>
  <c r="W58" i="1"/>
  <c r="BE92" i="1"/>
  <c r="BD86" i="1"/>
  <c r="V52" i="1"/>
  <c r="W42" i="1"/>
  <c r="BE76" i="1"/>
  <c r="BE87" i="1"/>
  <c r="W53" i="1"/>
  <c r="V60" i="1"/>
  <c r="BD94" i="1"/>
  <c r="V62" i="1"/>
  <c r="BD96" i="1"/>
  <c r="BE95" i="1"/>
  <c r="W61" i="1"/>
  <c r="DS97" i="1" l="1"/>
  <c r="DS96" i="1" s="1"/>
  <c r="DU69" i="1"/>
  <c r="DT95" i="1"/>
  <c r="DT94" i="1" s="1"/>
  <c r="DT93" i="1" s="1"/>
  <c r="DT92" i="1" s="1"/>
  <c r="DT91" i="1" s="1"/>
  <c r="DT90" i="1" s="1"/>
  <c r="DT89" i="1" s="1"/>
  <c r="DT88" i="1" s="1"/>
  <c r="DT87" i="1" s="1"/>
  <c r="DT86" i="1" s="1"/>
  <c r="DT85" i="1" s="1"/>
  <c r="DT84" i="1" s="1"/>
  <c r="DT83" i="1" s="1"/>
  <c r="DT82" i="1" s="1"/>
  <c r="DT81" i="1" s="1"/>
  <c r="DT80" i="1" s="1"/>
  <c r="DT79" i="1" s="1"/>
  <c r="DT78" i="1" s="1"/>
  <c r="DT77" i="1" s="1"/>
  <c r="DT76" i="1" s="1"/>
  <c r="DT75" i="1" s="1"/>
  <c r="DT74" i="1" s="1"/>
  <c r="DT73" i="1" s="1"/>
  <c r="DT72" i="1" s="1"/>
  <c r="DT71" i="1" s="1"/>
  <c r="DT70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V53" i="1"/>
  <c r="BD87" i="1"/>
  <c r="U45" i="1"/>
  <c r="BC79" i="1"/>
  <c r="BD77" i="1"/>
  <c r="V43" i="1"/>
  <c r="U48" i="1"/>
  <c r="BC82" i="1"/>
  <c r="V44" i="1"/>
  <c r="BD78" i="1"/>
  <c r="BC73" i="1"/>
  <c r="U39" i="1"/>
  <c r="U59" i="1"/>
  <c r="BC93" i="1"/>
  <c r="V61" i="1"/>
  <c r="BD95" i="1"/>
  <c r="V35" i="1"/>
  <c r="BD69" i="1"/>
  <c r="V42" i="1"/>
  <c r="BD76" i="1"/>
  <c r="U56" i="1"/>
  <c r="BC90" i="1"/>
  <c r="U46" i="1"/>
  <c r="BC80" i="1"/>
  <c r="U57" i="1"/>
  <c r="BC91" i="1"/>
  <c r="BC81" i="1"/>
  <c r="U47" i="1"/>
  <c r="U49" i="1"/>
  <c r="BC83" i="1"/>
  <c r="U52" i="1"/>
  <c r="BC86" i="1"/>
  <c r="BC97" i="1"/>
  <c r="U63" i="1"/>
  <c r="BD71" i="1"/>
  <c r="V37" i="1"/>
  <c r="U62" i="1"/>
  <c r="BC96" i="1"/>
  <c r="U54" i="1"/>
  <c r="BC88" i="1"/>
  <c r="BC70" i="1"/>
  <c r="U36" i="1"/>
  <c r="U50" i="1"/>
  <c r="BC84" i="1"/>
  <c r="U64" i="1"/>
  <c r="BC98" i="1"/>
  <c r="DR98" i="1" s="1"/>
  <c r="U60" i="1"/>
  <c r="BC94" i="1"/>
  <c r="V58" i="1"/>
  <c r="BD92" i="1"/>
  <c r="U41" i="1"/>
  <c r="BC75" i="1"/>
  <c r="U40" i="1"/>
  <c r="BC74" i="1"/>
  <c r="U55" i="1"/>
  <c r="BC89" i="1"/>
  <c r="U51" i="1"/>
  <c r="BC85" i="1"/>
  <c r="BC99" i="1"/>
  <c r="U65" i="1"/>
  <c r="U38" i="1"/>
  <c r="BC72" i="1"/>
  <c r="DR97" i="1" l="1"/>
  <c r="DR96" i="1" s="1"/>
  <c r="DS95" i="1"/>
  <c r="DS94" i="1" s="1"/>
  <c r="DS93" i="1" s="1"/>
  <c r="DS92" i="1" s="1"/>
  <c r="DS91" i="1" s="1"/>
  <c r="DS90" i="1" s="1"/>
  <c r="DS89" i="1" s="1"/>
  <c r="DS88" i="1" s="1"/>
  <c r="DS87" i="1" s="1"/>
  <c r="DS86" i="1" s="1"/>
  <c r="DS85" i="1" s="1"/>
  <c r="DS84" i="1" s="1"/>
  <c r="DS83" i="1" s="1"/>
  <c r="DS82" i="1" s="1"/>
  <c r="DS81" i="1" s="1"/>
  <c r="DS80" i="1" s="1"/>
  <c r="DS79" i="1" s="1"/>
  <c r="DS78" i="1" s="1"/>
  <c r="DS77" i="1" s="1"/>
  <c r="DS76" i="1" s="1"/>
  <c r="DS75" i="1" s="1"/>
  <c r="DS74" i="1" s="1"/>
  <c r="DS73" i="1" s="1"/>
  <c r="DS72" i="1" s="1"/>
  <c r="DS71" i="1" s="1"/>
  <c r="DS70" i="1" s="1"/>
  <c r="DT69" i="1"/>
  <c r="T55" i="1"/>
  <c r="BB89" i="1"/>
  <c r="T60" i="1"/>
  <c r="BB94" i="1"/>
  <c r="T54" i="1"/>
  <c r="BB88" i="1"/>
  <c r="T52" i="1"/>
  <c r="BB86" i="1"/>
  <c r="T46" i="1"/>
  <c r="BB80" i="1"/>
  <c r="U61" i="1"/>
  <c r="BC95" i="1"/>
  <c r="T48" i="1"/>
  <c r="BB82" i="1"/>
  <c r="U43" i="1"/>
  <c r="BC77" i="1"/>
  <c r="T38" i="1"/>
  <c r="BB72" i="1"/>
  <c r="T40" i="1"/>
  <c r="BB74" i="1"/>
  <c r="T64" i="1"/>
  <c r="BB98" i="1"/>
  <c r="DQ98" i="1" s="1"/>
  <c r="T62" i="1"/>
  <c r="BB96" i="1"/>
  <c r="T49" i="1"/>
  <c r="BB83" i="1"/>
  <c r="T56" i="1"/>
  <c r="BB90" i="1"/>
  <c r="T59" i="1"/>
  <c r="BB93" i="1"/>
  <c r="T65" i="1"/>
  <c r="BB99" i="1"/>
  <c r="U37" i="1"/>
  <c r="BC71" i="1"/>
  <c r="BB81" i="1"/>
  <c r="T47" i="1"/>
  <c r="T39" i="1"/>
  <c r="BB73" i="1"/>
  <c r="T41" i="1"/>
  <c r="BB75" i="1"/>
  <c r="T50" i="1"/>
  <c r="BB84" i="1"/>
  <c r="U42" i="1"/>
  <c r="BC76" i="1"/>
  <c r="BB79" i="1"/>
  <c r="T45" i="1"/>
  <c r="T36" i="1"/>
  <c r="BB70" i="1"/>
  <c r="T63" i="1"/>
  <c r="BB97" i="1"/>
  <c r="BB85" i="1"/>
  <c r="T51" i="1"/>
  <c r="U58" i="1"/>
  <c r="BC92" i="1"/>
  <c r="T57" i="1"/>
  <c r="BB91" i="1"/>
  <c r="BC69" i="1"/>
  <c r="U35" i="1"/>
  <c r="U44" i="1"/>
  <c r="BC78" i="1"/>
  <c r="U53" i="1"/>
  <c r="BC87" i="1"/>
  <c r="DR95" i="1" l="1"/>
  <c r="DR94" i="1" s="1"/>
  <c r="DR93" i="1" s="1"/>
  <c r="DR92" i="1" s="1"/>
  <c r="DR91" i="1" s="1"/>
  <c r="DR90" i="1" s="1"/>
  <c r="DR89" i="1" s="1"/>
  <c r="DR88" i="1" s="1"/>
  <c r="DR87" i="1" s="1"/>
  <c r="DR86" i="1" s="1"/>
  <c r="DR85" i="1" s="1"/>
  <c r="DR84" i="1" s="1"/>
  <c r="DR83" i="1" s="1"/>
  <c r="DR82" i="1" s="1"/>
  <c r="DR81" i="1" s="1"/>
  <c r="DR80" i="1" s="1"/>
  <c r="DR79" i="1" s="1"/>
  <c r="DR78" i="1" s="1"/>
  <c r="DR77" i="1" s="1"/>
  <c r="DR76" i="1" s="1"/>
  <c r="DR75" i="1" s="1"/>
  <c r="DR74" i="1" s="1"/>
  <c r="DR73" i="1" s="1"/>
  <c r="DR72" i="1" s="1"/>
  <c r="DR71" i="1" s="1"/>
  <c r="DR70" i="1" s="1"/>
  <c r="V69" i="1" s="1"/>
  <c r="V70" i="1" s="1"/>
  <c r="V71" i="1" s="1"/>
  <c r="V72" i="1" s="1"/>
  <c r="V73" i="1" s="1"/>
  <c r="V74" i="1" s="1"/>
  <c r="V75" i="1" s="1"/>
  <c r="V76" i="1" s="1"/>
  <c r="V77" i="1" s="1"/>
  <c r="V78" i="1" s="1"/>
  <c r="V79" i="1" s="1"/>
  <c r="V80" i="1" s="1"/>
  <c r="V81" i="1" s="1"/>
  <c r="V82" i="1" s="1"/>
  <c r="V83" i="1" s="1"/>
  <c r="V84" i="1" s="1"/>
  <c r="V85" i="1" s="1"/>
  <c r="V86" i="1" s="1"/>
  <c r="V87" i="1" s="1"/>
  <c r="V88" i="1" s="1"/>
  <c r="V89" i="1" s="1"/>
  <c r="V90" i="1" s="1"/>
  <c r="V91" i="1" s="1"/>
  <c r="V92" i="1" s="1"/>
  <c r="V93" i="1" s="1"/>
  <c r="V94" i="1" s="1"/>
  <c r="V95" i="1" s="1"/>
  <c r="V96" i="1" s="1"/>
  <c r="V97" i="1" s="1"/>
  <c r="V98" i="1" s="1"/>
  <c r="V99" i="1" s="1"/>
  <c r="DS69" i="1"/>
  <c r="W69" i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DQ97" i="1"/>
  <c r="DQ96" i="1" s="1"/>
  <c r="S57" i="1"/>
  <c r="BA91" i="1"/>
  <c r="S36" i="1"/>
  <c r="BA70" i="1"/>
  <c r="S41" i="1"/>
  <c r="BA75" i="1"/>
  <c r="BA99" i="1"/>
  <c r="S65" i="1"/>
  <c r="S62" i="1"/>
  <c r="BA96" i="1"/>
  <c r="T43" i="1"/>
  <c r="BB77" i="1"/>
  <c r="S52" i="1"/>
  <c r="BA86" i="1"/>
  <c r="S45" i="1"/>
  <c r="BA79" i="1"/>
  <c r="T53" i="1"/>
  <c r="BB87" i="1"/>
  <c r="T58" i="1"/>
  <c r="BB92" i="1"/>
  <c r="BA73" i="1"/>
  <c r="S39" i="1"/>
  <c r="S59" i="1"/>
  <c r="BA93" i="1"/>
  <c r="S64" i="1"/>
  <c r="BA98" i="1"/>
  <c r="DP98" i="1" s="1"/>
  <c r="BA82" i="1"/>
  <c r="S48" i="1"/>
  <c r="S54" i="1"/>
  <c r="BA88" i="1"/>
  <c r="S51" i="1"/>
  <c r="BA85" i="1"/>
  <c r="S47" i="1"/>
  <c r="BA81" i="1"/>
  <c r="T44" i="1"/>
  <c r="BB78" i="1"/>
  <c r="T42" i="1"/>
  <c r="BB76" i="1"/>
  <c r="S56" i="1"/>
  <c r="BA90" i="1"/>
  <c r="S40" i="1"/>
  <c r="BA74" i="1"/>
  <c r="T61" i="1"/>
  <c r="BB95" i="1"/>
  <c r="S60" i="1"/>
  <c r="BA94" i="1"/>
  <c r="T35" i="1"/>
  <c r="BB69" i="1"/>
  <c r="S63" i="1"/>
  <c r="BA97" i="1"/>
  <c r="S50" i="1"/>
  <c r="BA84" i="1"/>
  <c r="T37" i="1"/>
  <c r="BB71" i="1"/>
  <c r="BA83" i="1"/>
  <c r="S49" i="1"/>
  <c r="S38" i="1"/>
  <c r="BA72" i="1"/>
  <c r="S46" i="1"/>
  <c r="BA80" i="1"/>
  <c r="S55" i="1"/>
  <c r="BA89" i="1"/>
  <c r="DQ95" i="1" l="1"/>
  <c r="DQ94" i="1" s="1"/>
  <c r="DQ93" i="1" s="1"/>
  <c r="DQ92" i="1" s="1"/>
  <c r="DQ91" i="1" s="1"/>
  <c r="DQ90" i="1" s="1"/>
  <c r="DQ89" i="1" s="1"/>
  <c r="DQ88" i="1" s="1"/>
  <c r="DQ87" i="1" s="1"/>
  <c r="DQ86" i="1" s="1"/>
  <c r="DQ85" i="1" s="1"/>
  <c r="DQ84" i="1" s="1"/>
  <c r="DQ83" i="1" s="1"/>
  <c r="DQ82" i="1" s="1"/>
  <c r="DQ81" i="1" s="1"/>
  <c r="DQ80" i="1" s="1"/>
  <c r="DQ79" i="1" s="1"/>
  <c r="DQ78" i="1" s="1"/>
  <c r="DQ77" i="1" s="1"/>
  <c r="DQ76" i="1" s="1"/>
  <c r="DQ75" i="1" s="1"/>
  <c r="DQ74" i="1" s="1"/>
  <c r="DQ73" i="1" s="1"/>
  <c r="DQ72" i="1" s="1"/>
  <c r="DQ71" i="1" s="1"/>
  <c r="DQ70" i="1" s="1"/>
  <c r="U69" i="1" s="1"/>
  <c r="U70" i="1" s="1"/>
  <c r="U71" i="1" s="1"/>
  <c r="U72" i="1" s="1"/>
  <c r="U73" i="1" s="1"/>
  <c r="U74" i="1" s="1"/>
  <c r="U75" i="1" s="1"/>
  <c r="U76" i="1" s="1"/>
  <c r="U77" i="1" s="1"/>
  <c r="U78" i="1" s="1"/>
  <c r="U79" i="1" s="1"/>
  <c r="U80" i="1" s="1"/>
  <c r="U81" i="1" s="1"/>
  <c r="U82" i="1" s="1"/>
  <c r="U83" i="1" s="1"/>
  <c r="U84" i="1" s="1"/>
  <c r="U85" i="1" s="1"/>
  <c r="U86" i="1" s="1"/>
  <c r="U87" i="1" s="1"/>
  <c r="U88" i="1" s="1"/>
  <c r="U89" i="1" s="1"/>
  <c r="U90" i="1" s="1"/>
  <c r="U91" i="1" s="1"/>
  <c r="U92" i="1" s="1"/>
  <c r="U93" i="1" s="1"/>
  <c r="U94" i="1" s="1"/>
  <c r="U95" i="1" s="1"/>
  <c r="U96" i="1" s="1"/>
  <c r="U97" i="1" s="1"/>
  <c r="U98" i="1" s="1"/>
  <c r="U99" i="1" s="1"/>
  <c r="DR69" i="1"/>
  <c r="DP97" i="1"/>
  <c r="DP96" i="1" s="1"/>
  <c r="R49" i="1"/>
  <c r="AZ83" i="1"/>
  <c r="R65" i="1"/>
  <c r="AZ99" i="1"/>
  <c r="S35" i="1"/>
  <c r="BA69" i="1"/>
  <c r="R56" i="1"/>
  <c r="AZ90" i="1"/>
  <c r="R51" i="1"/>
  <c r="AZ85" i="1"/>
  <c r="R59" i="1"/>
  <c r="AZ93" i="1"/>
  <c r="R45" i="1"/>
  <c r="AZ79" i="1"/>
  <c r="R55" i="1"/>
  <c r="AZ89" i="1"/>
  <c r="S37" i="1"/>
  <c r="BA71" i="1"/>
  <c r="R60" i="1"/>
  <c r="AZ94" i="1"/>
  <c r="S42" i="1"/>
  <c r="BA76" i="1"/>
  <c r="R54" i="1"/>
  <c r="AZ88" i="1"/>
  <c r="R52" i="1"/>
  <c r="AZ86" i="1"/>
  <c r="R41" i="1"/>
  <c r="AZ75" i="1"/>
  <c r="AZ82" i="1"/>
  <c r="R48" i="1"/>
  <c r="AZ80" i="1"/>
  <c r="R46" i="1"/>
  <c r="R50" i="1"/>
  <c r="AZ84" i="1"/>
  <c r="S61" i="1"/>
  <c r="BA95" i="1"/>
  <c r="S44" i="1"/>
  <c r="BA78" i="1"/>
  <c r="S58" i="1"/>
  <c r="BA92" i="1"/>
  <c r="S43" i="1"/>
  <c r="BA77" i="1"/>
  <c r="R36" i="1"/>
  <c r="AZ70" i="1"/>
  <c r="R39" i="1"/>
  <c r="AZ73" i="1"/>
  <c r="R38" i="1"/>
  <c r="AZ72" i="1"/>
  <c r="R63" i="1"/>
  <c r="AZ97" i="1"/>
  <c r="AZ74" i="1"/>
  <c r="R40" i="1"/>
  <c r="R47" i="1"/>
  <c r="AZ81" i="1"/>
  <c r="R64" i="1"/>
  <c r="AZ98" i="1"/>
  <c r="DO98" i="1" s="1"/>
  <c r="BA87" i="1"/>
  <c r="S53" i="1"/>
  <c r="R62" i="1"/>
  <c r="AZ96" i="1"/>
  <c r="R57" i="1"/>
  <c r="AZ91" i="1"/>
  <c r="DP95" i="1" l="1"/>
  <c r="DP94" i="1" s="1"/>
  <c r="DP93" i="1" s="1"/>
  <c r="DP92" i="1" s="1"/>
  <c r="DP91" i="1" s="1"/>
  <c r="DP90" i="1" s="1"/>
  <c r="DP89" i="1" s="1"/>
  <c r="DP88" i="1" s="1"/>
  <c r="DP87" i="1" s="1"/>
  <c r="DP86" i="1" s="1"/>
  <c r="DP85" i="1" s="1"/>
  <c r="DP84" i="1" s="1"/>
  <c r="DP83" i="1" s="1"/>
  <c r="DP82" i="1" s="1"/>
  <c r="DP81" i="1" s="1"/>
  <c r="DP80" i="1" s="1"/>
  <c r="DP79" i="1" s="1"/>
  <c r="DP78" i="1" s="1"/>
  <c r="DP77" i="1" s="1"/>
  <c r="DP76" i="1" s="1"/>
  <c r="DP75" i="1" s="1"/>
  <c r="DP74" i="1" s="1"/>
  <c r="DP73" i="1" s="1"/>
  <c r="DP72" i="1" s="1"/>
  <c r="DP71" i="1" s="1"/>
  <c r="DP70" i="1" s="1"/>
  <c r="T69" i="1" s="1"/>
  <c r="T70" i="1" s="1"/>
  <c r="T71" i="1" s="1"/>
  <c r="T72" i="1" s="1"/>
  <c r="T73" i="1" s="1"/>
  <c r="T74" i="1" s="1"/>
  <c r="T75" i="1" s="1"/>
  <c r="T76" i="1" s="1"/>
  <c r="T77" i="1" s="1"/>
  <c r="T78" i="1" s="1"/>
  <c r="T79" i="1" s="1"/>
  <c r="T80" i="1" s="1"/>
  <c r="T81" i="1" s="1"/>
  <c r="T82" i="1" s="1"/>
  <c r="T83" i="1" s="1"/>
  <c r="T84" i="1" s="1"/>
  <c r="T85" i="1" s="1"/>
  <c r="T86" i="1" s="1"/>
  <c r="T87" i="1" s="1"/>
  <c r="T88" i="1" s="1"/>
  <c r="T89" i="1" s="1"/>
  <c r="T90" i="1" s="1"/>
  <c r="T91" i="1" s="1"/>
  <c r="T92" i="1" s="1"/>
  <c r="T93" i="1" s="1"/>
  <c r="T94" i="1" s="1"/>
  <c r="T95" i="1" s="1"/>
  <c r="T96" i="1" s="1"/>
  <c r="T97" i="1" s="1"/>
  <c r="T98" i="1" s="1"/>
  <c r="T99" i="1" s="1"/>
  <c r="DQ69" i="1"/>
  <c r="DO97" i="1"/>
  <c r="DO96" i="1" s="1"/>
  <c r="Q46" i="1"/>
  <c r="AY80" i="1"/>
  <c r="Q64" i="1"/>
  <c r="AY98" i="1"/>
  <c r="DN98" i="1" s="1"/>
  <c r="Q38" i="1"/>
  <c r="AY72" i="1"/>
  <c r="R58" i="1"/>
  <c r="AZ92" i="1"/>
  <c r="Q54" i="1"/>
  <c r="AY88" i="1"/>
  <c r="Q55" i="1"/>
  <c r="AY89" i="1"/>
  <c r="Q56" i="1"/>
  <c r="AY90" i="1"/>
  <c r="AY82" i="1"/>
  <c r="Q48" i="1"/>
  <c r="Q57" i="1"/>
  <c r="AY91" i="1"/>
  <c r="Q47" i="1"/>
  <c r="AY81" i="1"/>
  <c r="AY73" i="1"/>
  <c r="Q39" i="1"/>
  <c r="R44" i="1"/>
  <c r="AZ78" i="1"/>
  <c r="R42" i="1"/>
  <c r="AZ76" i="1"/>
  <c r="Q45" i="1"/>
  <c r="AY79" i="1"/>
  <c r="R35" i="1"/>
  <c r="AZ69" i="1"/>
  <c r="Q40" i="1"/>
  <c r="AY74" i="1"/>
  <c r="Q62" i="1"/>
  <c r="AY96" i="1"/>
  <c r="Q36" i="1"/>
  <c r="AY70" i="1"/>
  <c r="AZ95" i="1"/>
  <c r="R61" i="1"/>
  <c r="Q41" i="1"/>
  <c r="AY75" i="1"/>
  <c r="Q60" i="1"/>
  <c r="AY94" i="1"/>
  <c r="Q59" i="1"/>
  <c r="AY93" i="1"/>
  <c r="AY99" i="1"/>
  <c r="Q65" i="1"/>
  <c r="R53" i="1"/>
  <c r="AZ87" i="1"/>
  <c r="Q63" i="1"/>
  <c r="AY97" i="1"/>
  <c r="R43" i="1"/>
  <c r="AZ77" i="1"/>
  <c r="AY84" i="1"/>
  <c r="Q50" i="1"/>
  <c r="Q52" i="1"/>
  <c r="AY86" i="1"/>
  <c r="AZ71" i="1"/>
  <c r="R37" i="1"/>
  <c r="Q51" i="1"/>
  <c r="AY85" i="1"/>
  <c r="Q49" i="1"/>
  <c r="AY83" i="1"/>
  <c r="DN97" i="1" l="1"/>
  <c r="DN96" i="1" s="1"/>
  <c r="DO95" i="1"/>
  <c r="DO94" i="1" s="1"/>
  <c r="DO93" i="1" s="1"/>
  <c r="DO92" i="1" s="1"/>
  <c r="DO91" i="1" s="1"/>
  <c r="DO90" i="1" s="1"/>
  <c r="DO89" i="1" s="1"/>
  <c r="DO88" i="1" s="1"/>
  <c r="DO87" i="1" s="1"/>
  <c r="DO86" i="1" s="1"/>
  <c r="DO85" i="1" s="1"/>
  <c r="DO84" i="1" s="1"/>
  <c r="DO83" i="1" s="1"/>
  <c r="DO82" i="1" s="1"/>
  <c r="DO81" i="1" s="1"/>
  <c r="DO80" i="1" s="1"/>
  <c r="DO79" i="1" s="1"/>
  <c r="DO78" i="1" s="1"/>
  <c r="DO77" i="1" s="1"/>
  <c r="DO76" i="1" s="1"/>
  <c r="DO75" i="1" s="1"/>
  <c r="DO74" i="1" s="1"/>
  <c r="DO73" i="1" s="1"/>
  <c r="DO72" i="1" s="1"/>
  <c r="DO71" i="1" s="1"/>
  <c r="DO70" i="1" s="1"/>
  <c r="DO69" i="1" s="1"/>
  <c r="DP69" i="1"/>
  <c r="P50" i="1"/>
  <c r="AX84" i="1"/>
  <c r="P48" i="1"/>
  <c r="AX82" i="1"/>
  <c r="P52" i="1"/>
  <c r="AX86" i="1"/>
  <c r="Q53" i="1"/>
  <c r="AY87" i="1"/>
  <c r="AX75" i="1"/>
  <c r="P41" i="1"/>
  <c r="P40" i="1"/>
  <c r="AX74" i="1"/>
  <c r="Q44" i="1"/>
  <c r="AY78" i="1"/>
  <c r="Q58" i="1"/>
  <c r="AY92" i="1"/>
  <c r="P65" i="1"/>
  <c r="AX99" i="1"/>
  <c r="P49" i="1"/>
  <c r="AX83" i="1"/>
  <c r="Q35" i="1"/>
  <c r="AY69" i="1"/>
  <c r="P56" i="1"/>
  <c r="AX90" i="1"/>
  <c r="P38" i="1"/>
  <c r="AX72" i="1"/>
  <c r="Q61" i="1"/>
  <c r="AY95" i="1"/>
  <c r="AX85" i="1"/>
  <c r="P51" i="1"/>
  <c r="Q43" i="1"/>
  <c r="AY77" i="1"/>
  <c r="P59" i="1"/>
  <c r="AX93" i="1"/>
  <c r="P36" i="1"/>
  <c r="AX70" i="1"/>
  <c r="P45" i="1"/>
  <c r="AX79" i="1"/>
  <c r="P47" i="1"/>
  <c r="AX81" i="1"/>
  <c r="P55" i="1"/>
  <c r="AX89" i="1"/>
  <c r="P64" i="1"/>
  <c r="AX98" i="1"/>
  <c r="DM98" i="1" s="1"/>
  <c r="AY71" i="1"/>
  <c r="Q37" i="1"/>
  <c r="P39" i="1"/>
  <c r="AX73" i="1"/>
  <c r="P63" i="1"/>
  <c r="AX97" i="1"/>
  <c r="P60" i="1"/>
  <c r="AX94" i="1"/>
  <c r="P62" i="1"/>
  <c r="AX96" i="1"/>
  <c r="Q42" i="1"/>
  <c r="AY76" i="1"/>
  <c r="P57" i="1"/>
  <c r="AX91" i="1"/>
  <c r="P54" i="1"/>
  <c r="AX88" i="1"/>
  <c r="P46" i="1"/>
  <c r="AX80" i="1"/>
  <c r="DN95" i="1" l="1"/>
  <c r="DN94" i="1" s="1"/>
  <c r="DN93" i="1" s="1"/>
  <c r="DN92" i="1" s="1"/>
  <c r="DN91" i="1" s="1"/>
  <c r="DN90" i="1" s="1"/>
  <c r="DN89" i="1" s="1"/>
  <c r="DN88" i="1" s="1"/>
  <c r="DN87" i="1" s="1"/>
  <c r="DN86" i="1" s="1"/>
  <c r="DN85" i="1" s="1"/>
  <c r="DN84" i="1" s="1"/>
  <c r="DN83" i="1" s="1"/>
  <c r="DN82" i="1" s="1"/>
  <c r="DN81" i="1" s="1"/>
  <c r="DN80" i="1" s="1"/>
  <c r="DN79" i="1" s="1"/>
  <c r="DN78" i="1" s="1"/>
  <c r="DN77" i="1" s="1"/>
  <c r="DN76" i="1" s="1"/>
  <c r="DN75" i="1" s="1"/>
  <c r="DN74" i="1" s="1"/>
  <c r="DN73" i="1" s="1"/>
  <c r="DN72" i="1" s="1"/>
  <c r="DN71" i="1" s="1"/>
  <c r="DN70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86" i="1" s="1"/>
  <c r="R87" i="1" s="1"/>
  <c r="R88" i="1" s="1"/>
  <c r="R89" i="1" s="1"/>
  <c r="R90" i="1" s="1"/>
  <c r="R91" i="1" s="1"/>
  <c r="R92" i="1" s="1"/>
  <c r="R93" i="1" s="1"/>
  <c r="R94" i="1" s="1"/>
  <c r="R95" i="1" s="1"/>
  <c r="R96" i="1" s="1"/>
  <c r="R97" i="1" s="1"/>
  <c r="R98" i="1" s="1"/>
  <c r="R99" i="1" s="1"/>
  <c r="S69" i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S94" i="1" s="1"/>
  <c r="S95" i="1" s="1"/>
  <c r="S96" i="1" s="1"/>
  <c r="S97" i="1" s="1"/>
  <c r="S98" i="1" s="1"/>
  <c r="S99" i="1" s="1"/>
  <c r="DM97" i="1"/>
  <c r="DM96" i="1" s="1"/>
  <c r="P42" i="1"/>
  <c r="AX76" i="1"/>
  <c r="O39" i="1"/>
  <c r="AW73" i="1"/>
  <c r="O47" i="1"/>
  <c r="AW81" i="1"/>
  <c r="P43" i="1"/>
  <c r="AX77" i="1"/>
  <c r="O56" i="1"/>
  <c r="AW90" i="1"/>
  <c r="P58" i="1"/>
  <c r="AX92" i="1"/>
  <c r="AX87" i="1"/>
  <c r="P53" i="1"/>
  <c r="O46" i="1"/>
  <c r="AW80" i="1"/>
  <c r="O62" i="1"/>
  <c r="AW96" i="1"/>
  <c r="O45" i="1"/>
  <c r="AW79" i="1"/>
  <c r="P35" i="1"/>
  <c r="AX69" i="1"/>
  <c r="P44" i="1"/>
  <c r="AX78" i="1"/>
  <c r="O52" i="1"/>
  <c r="AW86" i="1"/>
  <c r="AX71" i="1"/>
  <c r="P37" i="1"/>
  <c r="O54" i="1"/>
  <c r="AW88" i="1"/>
  <c r="AW94" i="1"/>
  <c r="O60" i="1"/>
  <c r="O64" i="1"/>
  <c r="AW98" i="1"/>
  <c r="DL98" i="1" s="1"/>
  <c r="AW70" i="1"/>
  <c r="O36" i="1"/>
  <c r="P61" i="1"/>
  <c r="AX95" i="1"/>
  <c r="O49" i="1"/>
  <c r="AW83" i="1"/>
  <c r="AW74" i="1"/>
  <c r="O40" i="1"/>
  <c r="O48" i="1"/>
  <c r="AW82" i="1"/>
  <c r="O51" i="1"/>
  <c r="AW85" i="1"/>
  <c r="AW75" i="1"/>
  <c r="O41" i="1"/>
  <c r="AW91" i="1"/>
  <c r="O57" i="1"/>
  <c r="AW97" i="1"/>
  <c r="O63" i="1"/>
  <c r="O55" i="1"/>
  <c r="AW89" i="1"/>
  <c r="AW93" i="1"/>
  <c r="O59" i="1"/>
  <c r="O38" i="1"/>
  <c r="AW72" i="1"/>
  <c r="O65" i="1"/>
  <c r="AW99" i="1"/>
  <c r="AW84" i="1"/>
  <c r="O50" i="1"/>
  <c r="DN69" i="1" l="1"/>
  <c r="DL97" i="1"/>
  <c r="DL96" i="1" s="1"/>
  <c r="DM95" i="1"/>
  <c r="DM94" i="1" s="1"/>
  <c r="DM93" i="1" s="1"/>
  <c r="DM92" i="1" s="1"/>
  <c r="DM91" i="1" s="1"/>
  <c r="DM90" i="1" s="1"/>
  <c r="DM89" i="1" s="1"/>
  <c r="DM88" i="1" s="1"/>
  <c r="DM87" i="1" s="1"/>
  <c r="DM86" i="1" s="1"/>
  <c r="DM85" i="1" s="1"/>
  <c r="DM84" i="1" s="1"/>
  <c r="DM83" i="1" s="1"/>
  <c r="DM82" i="1" s="1"/>
  <c r="DM81" i="1" s="1"/>
  <c r="DM80" i="1" s="1"/>
  <c r="DM79" i="1" s="1"/>
  <c r="DM78" i="1" s="1"/>
  <c r="DM77" i="1" s="1"/>
  <c r="DM76" i="1" s="1"/>
  <c r="DM75" i="1" s="1"/>
  <c r="DM74" i="1" s="1"/>
  <c r="DM73" i="1" s="1"/>
  <c r="DM72" i="1" s="1"/>
  <c r="DM71" i="1" s="1"/>
  <c r="DM70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Q91" i="1" s="1"/>
  <c r="Q92" i="1" s="1"/>
  <c r="Q93" i="1" s="1"/>
  <c r="Q94" i="1" s="1"/>
  <c r="Q95" i="1" s="1"/>
  <c r="Q96" i="1" s="1"/>
  <c r="Q97" i="1" s="1"/>
  <c r="Q98" i="1" s="1"/>
  <c r="Q99" i="1" s="1"/>
  <c r="N59" i="1"/>
  <c r="AV93" i="1"/>
  <c r="N41" i="1"/>
  <c r="AV75" i="1"/>
  <c r="AV94" i="1"/>
  <c r="N60" i="1"/>
  <c r="N49" i="1"/>
  <c r="AV83" i="1"/>
  <c r="O44" i="1"/>
  <c r="AW78" i="1"/>
  <c r="N46" i="1"/>
  <c r="AV80" i="1"/>
  <c r="O43" i="1"/>
  <c r="AW77" i="1"/>
  <c r="N50" i="1"/>
  <c r="AV84" i="1"/>
  <c r="N55" i="1"/>
  <c r="AV89" i="1"/>
  <c r="N51" i="1"/>
  <c r="AV85" i="1"/>
  <c r="O61" i="1"/>
  <c r="AW95" i="1"/>
  <c r="N54" i="1"/>
  <c r="AV88" i="1"/>
  <c r="O35" i="1"/>
  <c r="AW69" i="1"/>
  <c r="N47" i="1"/>
  <c r="AV81" i="1"/>
  <c r="O53" i="1"/>
  <c r="AW87" i="1"/>
  <c r="N63" i="1"/>
  <c r="AV97" i="1"/>
  <c r="N36" i="1"/>
  <c r="AV70" i="1"/>
  <c r="O37" i="1"/>
  <c r="AW71" i="1"/>
  <c r="N65" i="1"/>
  <c r="AV99" i="1"/>
  <c r="AV82" i="1"/>
  <c r="N48" i="1"/>
  <c r="N45" i="1"/>
  <c r="AV79" i="1"/>
  <c r="O58" i="1"/>
  <c r="AW92" i="1"/>
  <c r="N39" i="1"/>
  <c r="AV73" i="1"/>
  <c r="N57" i="1"/>
  <c r="AV91" i="1"/>
  <c r="N40" i="1"/>
  <c r="AV74" i="1"/>
  <c r="N38" i="1"/>
  <c r="AV72" i="1"/>
  <c r="N64" i="1"/>
  <c r="AV98" i="1"/>
  <c r="DK98" i="1" s="1"/>
  <c r="AV86" i="1"/>
  <c r="N52" i="1"/>
  <c r="N62" i="1"/>
  <c r="AV96" i="1"/>
  <c r="N56" i="1"/>
  <c r="AV90" i="1"/>
  <c r="O42" i="1"/>
  <c r="AW76" i="1"/>
  <c r="DK97" i="1" l="1"/>
  <c r="DK96" i="1" s="1"/>
  <c r="DM69" i="1"/>
  <c r="DL95" i="1"/>
  <c r="DL94" i="1" s="1"/>
  <c r="DL93" i="1" s="1"/>
  <c r="DL92" i="1" s="1"/>
  <c r="DL91" i="1" s="1"/>
  <c r="DL90" i="1" s="1"/>
  <c r="DL89" i="1" s="1"/>
  <c r="DL88" i="1" s="1"/>
  <c r="DL87" i="1" s="1"/>
  <c r="DL86" i="1" s="1"/>
  <c r="DL85" i="1" s="1"/>
  <c r="DL84" i="1" s="1"/>
  <c r="DL83" i="1" s="1"/>
  <c r="DL82" i="1" s="1"/>
  <c r="DL81" i="1" s="1"/>
  <c r="DL80" i="1" s="1"/>
  <c r="DL79" i="1" s="1"/>
  <c r="DL78" i="1" s="1"/>
  <c r="DL77" i="1" s="1"/>
  <c r="DL76" i="1" s="1"/>
  <c r="DL75" i="1" s="1"/>
  <c r="DL74" i="1" s="1"/>
  <c r="DL73" i="1" s="1"/>
  <c r="DL72" i="1" s="1"/>
  <c r="DL71" i="1" s="1"/>
  <c r="DL70" i="1" s="1"/>
  <c r="P69" i="1" s="1"/>
  <c r="P70" i="1" s="1"/>
  <c r="P71" i="1" s="1"/>
  <c r="P72" i="1" s="1"/>
  <c r="P73" i="1" s="1"/>
  <c r="P74" i="1" s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P94" i="1" s="1"/>
  <c r="P95" i="1" s="1"/>
  <c r="P96" i="1" s="1"/>
  <c r="P97" i="1" s="1"/>
  <c r="P98" i="1" s="1"/>
  <c r="P99" i="1" s="1"/>
  <c r="M52" i="1"/>
  <c r="AU86" i="1"/>
  <c r="M57" i="1"/>
  <c r="AU91" i="1"/>
  <c r="M63" i="1"/>
  <c r="AU97" i="1"/>
  <c r="M54" i="1"/>
  <c r="AU88" i="1"/>
  <c r="M50" i="1"/>
  <c r="AU84" i="1"/>
  <c r="M49" i="1"/>
  <c r="AU83" i="1"/>
  <c r="M48" i="1"/>
  <c r="AU82" i="1"/>
  <c r="AU94" i="1"/>
  <c r="M60" i="1"/>
  <c r="AV76" i="1"/>
  <c r="N42" i="1"/>
  <c r="AU98" i="1"/>
  <c r="DJ98" i="1" s="1"/>
  <c r="M64" i="1"/>
  <c r="AU73" i="1"/>
  <c r="M39" i="1"/>
  <c r="M65" i="1"/>
  <c r="AU99" i="1"/>
  <c r="AV87" i="1"/>
  <c r="N53" i="1"/>
  <c r="N61" i="1"/>
  <c r="AV95" i="1"/>
  <c r="AV77" i="1"/>
  <c r="N43" i="1"/>
  <c r="M56" i="1"/>
  <c r="AU90" i="1"/>
  <c r="M38" i="1"/>
  <c r="AU72" i="1"/>
  <c r="N58" i="1"/>
  <c r="AV92" i="1"/>
  <c r="AV71" i="1"/>
  <c r="N37" i="1"/>
  <c r="M47" i="1"/>
  <c r="AU81" i="1"/>
  <c r="M51" i="1"/>
  <c r="AU85" i="1"/>
  <c r="M46" i="1"/>
  <c r="AU80" i="1"/>
  <c r="M41" i="1"/>
  <c r="AU75" i="1"/>
  <c r="AU96" i="1"/>
  <c r="M62" i="1"/>
  <c r="AU74" i="1"/>
  <c r="M40" i="1"/>
  <c r="M45" i="1"/>
  <c r="AU79" i="1"/>
  <c r="AU70" i="1"/>
  <c r="M36" i="1"/>
  <c r="AV69" i="1"/>
  <c r="N35" i="1"/>
  <c r="M55" i="1"/>
  <c r="AU89" i="1"/>
  <c r="AV78" i="1"/>
  <c r="N44" i="1"/>
  <c r="M59" i="1"/>
  <c r="AU93" i="1"/>
  <c r="DJ97" i="1" l="1"/>
  <c r="DJ96" i="1" s="1"/>
  <c r="DK95" i="1"/>
  <c r="DK94" i="1" s="1"/>
  <c r="DK93" i="1" s="1"/>
  <c r="DK92" i="1" s="1"/>
  <c r="DK91" i="1" s="1"/>
  <c r="DK90" i="1" s="1"/>
  <c r="DK89" i="1" s="1"/>
  <c r="DK88" i="1" s="1"/>
  <c r="DK87" i="1" s="1"/>
  <c r="DK86" i="1" s="1"/>
  <c r="DK85" i="1" s="1"/>
  <c r="DK84" i="1" s="1"/>
  <c r="DK83" i="1" s="1"/>
  <c r="DK82" i="1" s="1"/>
  <c r="DK81" i="1" s="1"/>
  <c r="DK80" i="1" s="1"/>
  <c r="DK79" i="1" s="1"/>
  <c r="DK78" i="1" s="1"/>
  <c r="DK77" i="1" s="1"/>
  <c r="DK76" i="1" s="1"/>
  <c r="DK75" i="1" s="1"/>
  <c r="DK74" i="1" s="1"/>
  <c r="DK73" i="1" s="1"/>
  <c r="DK72" i="1" s="1"/>
  <c r="DK71" i="1" s="1"/>
  <c r="DK70" i="1" s="1"/>
  <c r="O69" i="1" s="1"/>
  <c r="O70" i="1" s="1"/>
  <c r="O71" i="1" s="1"/>
  <c r="O72" i="1" s="1"/>
  <c r="O73" i="1" s="1"/>
  <c r="O74" i="1" s="1"/>
  <c r="O75" i="1" s="1"/>
  <c r="O76" i="1" s="1"/>
  <c r="O77" i="1" s="1"/>
  <c r="O78" i="1" s="1"/>
  <c r="O79" i="1" s="1"/>
  <c r="O80" i="1" s="1"/>
  <c r="O81" i="1" s="1"/>
  <c r="O82" i="1" s="1"/>
  <c r="O83" i="1" s="1"/>
  <c r="O84" i="1" s="1"/>
  <c r="O85" i="1" s="1"/>
  <c r="O86" i="1" s="1"/>
  <c r="O87" i="1" s="1"/>
  <c r="O88" i="1" s="1"/>
  <c r="O89" i="1" s="1"/>
  <c r="O90" i="1" s="1"/>
  <c r="O91" i="1" s="1"/>
  <c r="O92" i="1" s="1"/>
  <c r="O93" i="1" s="1"/>
  <c r="O94" i="1" s="1"/>
  <c r="O95" i="1" s="1"/>
  <c r="O96" i="1" s="1"/>
  <c r="O97" i="1" s="1"/>
  <c r="O98" i="1" s="1"/>
  <c r="O99" i="1" s="1"/>
  <c r="DL69" i="1"/>
  <c r="AU69" i="1"/>
  <c r="M35" i="1"/>
  <c r="L47" i="1"/>
  <c r="AT81" i="1"/>
  <c r="L56" i="1"/>
  <c r="AT90" i="1"/>
  <c r="L65" i="1"/>
  <c r="AT99" i="1"/>
  <c r="L54" i="1"/>
  <c r="AT88" i="1"/>
  <c r="L36" i="1"/>
  <c r="AT70" i="1"/>
  <c r="AU71" i="1"/>
  <c r="M37" i="1"/>
  <c r="M43" i="1"/>
  <c r="AU77" i="1"/>
  <c r="L39" i="1"/>
  <c r="AT73" i="1"/>
  <c r="AT94" i="1"/>
  <c r="L60" i="1"/>
  <c r="L59" i="1"/>
  <c r="AT93" i="1"/>
  <c r="L41" i="1"/>
  <c r="AT75" i="1"/>
  <c r="L48" i="1"/>
  <c r="AT82" i="1"/>
  <c r="L63" i="1"/>
  <c r="AT97" i="1"/>
  <c r="M44" i="1"/>
  <c r="AU78" i="1"/>
  <c r="L64" i="1"/>
  <c r="AT98" i="1"/>
  <c r="DI98" i="1" s="1"/>
  <c r="L62" i="1"/>
  <c r="AT96" i="1"/>
  <c r="L45" i="1"/>
  <c r="AT79" i="1"/>
  <c r="L46" i="1"/>
  <c r="AT80" i="1"/>
  <c r="M58" i="1"/>
  <c r="AU92" i="1"/>
  <c r="AU95" i="1"/>
  <c r="M61" i="1"/>
  <c r="L49" i="1"/>
  <c r="AT83" i="1"/>
  <c r="L57" i="1"/>
  <c r="AT91" i="1"/>
  <c r="AT74" i="1"/>
  <c r="L40" i="1"/>
  <c r="M53" i="1"/>
  <c r="AU87" i="1"/>
  <c r="M42" i="1"/>
  <c r="AU76" i="1"/>
  <c r="L55" i="1"/>
  <c r="AT89" i="1"/>
  <c r="L51" i="1"/>
  <c r="AT85" i="1"/>
  <c r="L38" i="1"/>
  <c r="AT72" i="1"/>
  <c r="L50" i="1"/>
  <c r="AT84" i="1"/>
  <c r="AT86" i="1"/>
  <c r="L52" i="1"/>
  <c r="DJ95" i="1" l="1"/>
  <c r="DJ94" i="1" s="1"/>
  <c r="DJ93" i="1" s="1"/>
  <c r="DJ92" i="1" s="1"/>
  <c r="DJ91" i="1" s="1"/>
  <c r="DJ90" i="1" s="1"/>
  <c r="DJ89" i="1" s="1"/>
  <c r="DJ88" i="1" s="1"/>
  <c r="DJ87" i="1" s="1"/>
  <c r="DJ86" i="1" s="1"/>
  <c r="DJ85" i="1" s="1"/>
  <c r="DJ84" i="1" s="1"/>
  <c r="DJ83" i="1" s="1"/>
  <c r="DJ82" i="1" s="1"/>
  <c r="DJ81" i="1" s="1"/>
  <c r="DJ80" i="1" s="1"/>
  <c r="DJ79" i="1" s="1"/>
  <c r="DJ78" i="1" s="1"/>
  <c r="DJ77" i="1" s="1"/>
  <c r="DJ76" i="1" s="1"/>
  <c r="DJ75" i="1" s="1"/>
  <c r="DJ74" i="1" s="1"/>
  <c r="DJ73" i="1" s="1"/>
  <c r="DJ72" i="1" s="1"/>
  <c r="DJ71" i="1" s="1"/>
  <c r="DJ70" i="1" s="1"/>
  <c r="N69" i="1" s="1"/>
  <c r="N70" i="1" s="1"/>
  <c r="N71" i="1" s="1"/>
  <c r="N72" i="1" s="1"/>
  <c r="N73" i="1" s="1"/>
  <c r="N74" i="1" s="1"/>
  <c r="N75" i="1" s="1"/>
  <c r="N76" i="1" s="1"/>
  <c r="N77" i="1" s="1"/>
  <c r="N78" i="1" s="1"/>
  <c r="N79" i="1" s="1"/>
  <c r="N80" i="1" s="1"/>
  <c r="N81" i="1" s="1"/>
  <c r="N82" i="1" s="1"/>
  <c r="N83" i="1" s="1"/>
  <c r="N84" i="1" s="1"/>
  <c r="N85" i="1" s="1"/>
  <c r="N86" i="1" s="1"/>
  <c r="N87" i="1" s="1"/>
  <c r="N88" i="1" s="1"/>
  <c r="N89" i="1" s="1"/>
  <c r="N90" i="1" s="1"/>
  <c r="N91" i="1" s="1"/>
  <c r="N92" i="1" s="1"/>
  <c r="N93" i="1" s="1"/>
  <c r="N94" i="1" s="1"/>
  <c r="N95" i="1" s="1"/>
  <c r="N96" i="1" s="1"/>
  <c r="N97" i="1" s="1"/>
  <c r="N98" i="1" s="1"/>
  <c r="N99" i="1" s="1"/>
  <c r="DI97" i="1"/>
  <c r="DI96" i="1" s="1"/>
  <c r="DK69" i="1"/>
  <c r="K51" i="1"/>
  <c r="AS85" i="1"/>
  <c r="L58" i="1"/>
  <c r="AT92" i="1"/>
  <c r="K64" i="1"/>
  <c r="AS98" i="1"/>
  <c r="DH98" i="1" s="1"/>
  <c r="K41" i="1"/>
  <c r="AS75" i="1"/>
  <c r="AT77" i="1"/>
  <c r="L43" i="1"/>
  <c r="AS99" i="1"/>
  <c r="K65" i="1"/>
  <c r="K52" i="1"/>
  <c r="AS86" i="1"/>
  <c r="L37" i="1"/>
  <c r="AT71" i="1"/>
  <c r="K55" i="1"/>
  <c r="AS89" i="1"/>
  <c r="K57" i="1"/>
  <c r="AS91" i="1"/>
  <c r="AS80" i="1"/>
  <c r="K46" i="1"/>
  <c r="L44" i="1"/>
  <c r="AT78" i="1"/>
  <c r="K59" i="1"/>
  <c r="AS93" i="1"/>
  <c r="K56" i="1"/>
  <c r="AS90" i="1"/>
  <c r="AS74" i="1"/>
  <c r="K40" i="1"/>
  <c r="K60" i="1"/>
  <c r="AS94" i="1"/>
  <c r="K50" i="1"/>
  <c r="AS84" i="1"/>
  <c r="L42" i="1"/>
  <c r="AT76" i="1"/>
  <c r="K49" i="1"/>
  <c r="AS83" i="1"/>
  <c r="K45" i="1"/>
  <c r="AS79" i="1"/>
  <c r="AS97" i="1"/>
  <c r="K63" i="1"/>
  <c r="AS70" i="1"/>
  <c r="K36" i="1"/>
  <c r="K47" i="1"/>
  <c r="AS81" i="1"/>
  <c r="L61" i="1"/>
  <c r="AT95" i="1"/>
  <c r="AT69" i="1"/>
  <c r="L35" i="1"/>
  <c r="K38" i="1"/>
  <c r="AS72" i="1"/>
  <c r="L53" i="1"/>
  <c r="AT87" i="1"/>
  <c r="K62" i="1"/>
  <c r="AS96" i="1"/>
  <c r="K48" i="1"/>
  <c r="AS82" i="1"/>
  <c r="K39" i="1"/>
  <c r="AS73" i="1"/>
  <c r="K54" i="1"/>
  <c r="AS88" i="1"/>
  <c r="DJ69" i="1" l="1"/>
  <c r="DH97" i="1"/>
  <c r="DH96" i="1" s="1"/>
  <c r="DI95" i="1"/>
  <c r="DI94" i="1" s="1"/>
  <c r="DI93" i="1" s="1"/>
  <c r="DI92" i="1" s="1"/>
  <c r="DI91" i="1" s="1"/>
  <c r="DI90" i="1" s="1"/>
  <c r="DI89" i="1" s="1"/>
  <c r="DI88" i="1" s="1"/>
  <c r="DI87" i="1" s="1"/>
  <c r="DI86" i="1" s="1"/>
  <c r="DI85" i="1" s="1"/>
  <c r="DI84" i="1" s="1"/>
  <c r="DI83" i="1" s="1"/>
  <c r="DI82" i="1" s="1"/>
  <c r="DI81" i="1" s="1"/>
  <c r="DI80" i="1" s="1"/>
  <c r="DI79" i="1" s="1"/>
  <c r="DI78" i="1" s="1"/>
  <c r="DI77" i="1" s="1"/>
  <c r="DI76" i="1" s="1"/>
  <c r="DI75" i="1" s="1"/>
  <c r="DI74" i="1" s="1"/>
  <c r="DI73" i="1" s="1"/>
  <c r="DI72" i="1" s="1"/>
  <c r="DI71" i="1" s="1"/>
  <c r="DI70" i="1" s="1"/>
  <c r="M69" i="1" s="1"/>
  <c r="M70" i="1" s="1"/>
  <c r="M71" i="1" s="1"/>
  <c r="M72" i="1" s="1"/>
  <c r="M73" i="1" s="1"/>
  <c r="M74" i="1" s="1"/>
  <c r="M75" i="1" s="1"/>
  <c r="M76" i="1" s="1"/>
  <c r="M77" i="1" s="1"/>
  <c r="M78" i="1" s="1"/>
  <c r="M79" i="1" s="1"/>
  <c r="M80" i="1" s="1"/>
  <c r="M81" i="1" s="1"/>
  <c r="M82" i="1" s="1"/>
  <c r="M83" i="1" s="1"/>
  <c r="M84" i="1" s="1"/>
  <c r="M85" i="1" s="1"/>
  <c r="M86" i="1" s="1"/>
  <c r="M87" i="1" s="1"/>
  <c r="M88" i="1" s="1"/>
  <c r="M89" i="1" s="1"/>
  <c r="M90" i="1" s="1"/>
  <c r="M91" i="1" s="1"/>
  <c r="M92" i="1" s="1"/>
  <c r="M93" i="1" s="1"/>
  <c r="M94" i="1" s="1"/>
  <c r="M95" i="1" s="1"/>
  <c r="M96" i="1" s="1"/>
  <c r="M97" i="1" s="1"/>
  <c r="M98" i="1" s="1"/>
  <c r="M99" i="1" s="1"/>
  <c r="J62" i="1"/>
  <c r="AR96" i="1"/>
  <c r="K61" i="1"/>
  <c r="AS95" i="1"/>
  <c r="J45" i="1"/>
  <c r="AR79" i="1"/>
  <c r="J60" i="1"/>
  <c r="AR94" i="1"/>
  <c r="AS78" i="1"/>
  <c r="K44" i="1"/>
  <c r="K37" i="1"/>
  <c r="AS71" i="1"/>
  <c r="AR75" i="1"/>
  <c r="J41" i="1"/>
  <c r="J40" i="1"/>
  <c r="AR74" i="1"/>
  <c r="J46" i="1"/>
  <c r="AR80" i="1"/>
  <c r="K53" i="1"/>
  <c r="AS87" i="1"/>
  <c r="J47" i="1"/>
  <c r="AR81" i="1"/>
  <c r="J49" i="1"/>
  <c r="AR83" i="1"/>
  <c r="J52" i="1"/>
  <c r="AR86" i="1"/>
  <c r="J64" i="1"/>
  <c r="AR98" i="1"/>
  <c r="DG98" i="1" s="1"/>
  <c r="J36" i="1"/>
  <c r="AR70" i="1"/>
  <c r="J65" i="1"/>
  <c r="AR99" i="1"/>
  <c r="J39" i="1"/>
  <c r="AR73" i="1"/>
  <c r="J38" i="1"/>
  <c r="AR72" i="1"/>
  <c r="K42" i="1"/>
  <c r="AS76" i="1"/>
  <c r="J56" i="1"/>
  <c r="AR90" i="1"/>
  <c r="J57" i="1"/>
  <c r="AR91" i="1"/>
  <c r="K58" i="1"/>
  <c r="AS92" i="1"/>
  <c r="J54" i="1"/>
  <c r="AR88" i="1"/>
  <c r="K35" i="1"/>
  <c r="AS69" i="1"/>
  <c r="J63" i="1"/>
  <c r="AR97" i="1"/>
  <c r="AS77" i="1"/>
  <c r="K43" i="1"/>
  <c r="J48" i="1"/>
  <c r="AR82" i="1"/>
  <c r="J50" i="1"/>
  <c r="AR84" i="1"/>
  <c r="AR93" i="1"/>
  <c r="J59" i="1"/>
  <c r="J55" i="1"/>
  <c r="AR89" i="1"/>
  <c r="J51" i="1"/>
  <c r="AR85" i="1"/>
  <c r="DH95" i="1" l="1"/>
  <c r="DH94" i="1" s="1"/>
  <c r="DH93" i="1" s="1"/>
  <c r="DH92" i="1" s="1"/>
  <c r="DH91" i="1" s="1"/>
  <c r="DH90" i="1" s="1"/>
  <c r="DH89" i="1" s="1"/>
  <c r="DH88" i="1" s="1"/>
  <c r="DH87" i="1" s="1"/>
  <c r="DH86" i="1" s="1"/>
  <c r="DH85" i="1" s="1"/>
  <c r="DH84" i="1" s="1"/>
  <c r="DH83" i="1" s="1"/>
  <c r="DH82" i="1" s="1"/>
  <c r="DH81" i="1" s="1"/>
  <c r="DH80" i="1" s="1"/>
  <c r="DH79" i="1" s="1"/>
  <c r="DH78" i="1" s="1"/>
  <c r="DH77" i="1" s="1"/>
  <c r="DH76" i="1" s="1"/>
  <c r="DH75" i="1" s="1"/>
  <c r="DH74" i="1" s="1"/>
  <c r="DH73" i="1" s="1"/>
  <c r="DH72" i="1" s="1"/>
  <c r="DH71" i="1" s="1"/>
  <c r="DH70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L94" i="1" s="1"/>
  <c r="L95" i="1" s="1"/>
  <c r="L96" i="1" s="1"/>
  <c r="L97" i="1" s="1"/>
  <c r="L98" i="1" s="1"/>
  <c r="L99" i="1" s="1"/>
  <c r="DI69" i="1"/>
  <c r="DG97" i="1"/>
  <c r="DG96" i="1" s="1"/>
  <c r="J35" i="1"/>
  <c r="AR69" i="1"/>
  <c r="I56" i="1"/>
  <c r="AQ90" i="1"/>
  <c r="I65" i="1"/>
  <c r="AQ99" i="1"/>
  <c r="I49" i="1"/>
  <c r="AQ83" i="1"/>
  <c r="I40" i="1"/>
  <c r="AQ74" i="1"/>
  <c r="AQ94" i="1"/>
  <c r="I60" i="1"/>
  <c r="I50" i="1"/>
  <c r="AQ84" i="1"/>
  <c r="I41" i="1"/>
  <c r="AQ75" i="1"/>
  <c r="I51" i="1"/>
  <c r="AQ85" i="1"/>
  <c r="I54" i="1"/>
  <c r="AQ88" i="1"/>
  <c r="J42" i="1"/>
  <c r="AR76" i="1"/>
  <c r="AQ70" i="1"/>
  <c r="I36" i="1"/>
  <c r="H36" i="1" s="1"/>
  <c r="I47" i="1"/>
  <c r="AQ81" i="1"/>
  <c r="I45" i="1"/>
  <c r="AQ79" i="1"/>
  <c r="J43" i="1"/>
  <c r="AR77" i="1"/>
  <c r="I55" i="1"/>
  <c r="AQ89" i="1"/>
  <c r="J58" i="1"/>
  <c r="AR92" i="1"/>
  <c r="I38" i="1"/>
  <c r="AQ72" i="1"/>
  <c r="I64" i="1"/>
  <c r="AQ98" i="1"/>
  <c r="DF98" i="1" s="1"/>
  <c r="J53" i="1"/>
  <c r="AR87" i="1"/>
  <c r="J37" i="1"/>
  <c r="AR71" i="1"/>
  <c r="J61" i="1"/>
  <c r="AR95" i="1"/>
  <c r="I59" i="1"/>
  <c r="AQ93" i="1"/>
  <c r="J44" i="1"/>
  <c r="AR78" i="1"/>
  <c r="AQ82" i="1"/>
  <c r="I48" i="1"/>
  <c r="H48" i="1" s="1"/>
  <c r="I63" i="1"/>
  <c r="AQ97" i="1"/>
  <c r="I57" i="1"/>
  <c r="AQ91" i="1"/>
  <c r="I39" i="1"/>
  <c r="AQ73" i="1"/>
  <c r="I52" i="1"/>
  <c r="AQ86" i="1"/>
  <c r="I46" i="1"/>
  <c r="AQ80" i="1"/>
  <c r="I62" i="1"/>
  <c r="AQ96" i="1"/>
  <c r="DG95" i="1" l="1"/>
  <c r="DG94" i="1" s="1"/>
  <c r="DG93" i="1" s="1"/>
  <c r="DG92" i="1" s="1"/>
  <c r="DG91" i="1" s="1"/>
  <c r="DG90" i="1" s="1"/>
  <c r="DG89" i="1" s="1"/>
  <c r="DG88" i="1" s="1"/>
  <c r="DG87" i="1" s="1"/>
  <c r="DG86" i="1" s="1"/>
  <c r="DG85" i="1" s="1"/>
  <c r="DG84" i="1" s="1"/>
  <c r="DG83" i="1" s="1"/>
  <c r="DG82" i="1" s="1"/>
  <c r="DG81" i="1" s="1"/>
  <c r="DG80" i="1" s="1"/>
  <c r="DG79" i="1" s="1"/>
  <c r="DG78" i="1" s="1"/>
  <c r="DG77" i="1" s="1"/>
  <c r="DG76" i="1" s="1"/>
  <c r="DG75" i="1" s="1"/>
  <c r="DG74" i="1" s="1"/>
  <c r="DG73" i="1" s="1"/>
  <c r="DG72" i="1" s="1"/>
  <c r="DG71" i="1" s="1"/>
  <c r="DG70" i="1" s="1"/>
  <c r="K69" i="1" s="1"/>
  <c r="K70" i="1" s="1"/>
  <c r="K71" i="1" s="1"/>
  <c r="K72" i="1" s="1"/>
  <c r="K73" i="1" s="1"/>
  <c r="K74" i="1" s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K94" i="1" s="1"/>
  <c r="K95" i="1" s="1"/>
  <c r="K96" i="1" s="1"/>
  <c r="K97" i="1" s="1"/>
  <c r="K98" i="1" s="1"/>
  <c r="K99" i="1" s="1"/>
  <c r="DF97" i="1"/>
  <c r="DF96" i="1" s="1"/>
  <c r="DH69" i="1"/>
  <c r="I44" i="1"/>
  <c r="AQ78" i="1"/>
  <c r="I53" i="1"/>
  <c r="AQ87" i="1"/>
  <c r="H55" i="1"/>
  <c r="AO89" i="1" s="1"/>
  <c r="AP89" i="1"/>
  <c r="H41" i="1"/>
  <c r="AO75" i="1" s="1"/>
  <c r="AP75" i="1"/>
  <c r="H49" i="1"/>
  <c r="AO83" i="1" s="1"/>
  <c r="AP83" i="1"/>
  <c r="H62" i="1"/>
  <c r="AO96" i="1" s="1"/>
  <c r="AP96" i="1"/>
  <c r="H57" i="1"/>
  <c r="AO91" i="1" s="1"/>
  <c r="AP91" i="1"/>
  <c r="H59" i="1"/>
  <c r="AO93" i="1" s="1"/>
  <c r="AP93" i="1"/>
  <c r="AP98" i="1"/>
  <c r="DE98" i="1" s="1"/>
  <c r="H64" i="1"/>
  <c r="AO98" i="1" s="1"/>
  <c r="DD98" i="1" s="1"/>
  <c r="I43" i="1"/>
  <c r="AQ77" i="1"/>
  <c r="I42" i="1"/>
  <c r="AQ76" i="1"/>
  <c r="H50" i="1"/>
  <c r="AO84" i="1" s="1"/>
  <c r="AP84" i="1"/>
  <c r="H65" i="1"/>
  <c r="AO99" i="1" s="1"/>
  <c r="AP99" i="1"/>
  <c r="AO70" i="1"/>
  <c r="AP70" i="1"/>
  <c r="H60" i="1"/>
  <c r="AO94" i="1" s="1"/>
  <c r="AP94" i="1"/>
  <c r="AP73" i="1"/>
  <c r="H39" i="1"/>
  <c r="AO73" i="1" s="1"/>
  <c r="H63" i="1"/>
  <c r="AO97" i="1" s="1"/>
  <c r="AP97" i="1"/>
  <c r="I61" i="1"/>
  <c r="AQ95" i="1"/>
  <c r="AP72" i="1"/>
  <c r="H38" i="1"/>
  <c r="AO72" i="1" s="1"/>
  <c r="H45" i="1"/>
  <c r="AO79" i="1" s="1"/>
  <c r="AP79" i="1"/>
  <c r="H54" i="1"/>
  <c r="AO88" i="1" s="1"/>
  <c r="AP88" i="1"/>
  <c r="H56" i="1"/>
  <c r="AO90" i="1" s="1"/>
  <c r="AP90" i="1"/>
  <c r="H46" i="1"/>
  <c r="AO80" i="1" s="1"/>
  <c r="AP80" i="1"/>
  <c r="AO82" i="1"/>
  <c r="AP82" i="1"/>
  <c r="H52" i="1"/>
  <c r="AO86" i="1" s="1"/>
  <c r="AP86" i="1"/>
  <c r="I37" i="1"/>
  <c r="AQ71" i="1"/>
  <c r="I58" i="1"/>
  <c r="AQ92" i="1"/>
  <c r="AP81" i="1"/>
  <c r="H47" i="1"/>
  <c r="AO81" i="1" s="1"/>
  <c r="H51" i="1"/>
  <c r="AO85" i="1" s="1"/>
  <c r="AP85" i="1"/>
  <c r="H40" i="1"/>
  <c r="AO74" i="1" s="1"/>
  <c r="AP74" i="1"/>
  <c r="I35" i="1"/>
  <c r="AQ69" i="1"/>
  <c r="DF95" i="1" l="1"/>
  <c r="DF94" i="1" s="1"/>
  <c r="DF93" i="1" s="1"/>
  <c r="DF92" i="1" s="1"/>
  <c r="DF91" i="1" s="1"/>
  <c r="DF90" i="1" s="1"/>
  <c r="DF89" i="1" s="1"/>
  <c r="DF88" i="1" s="1"/>
  <c r="DF87" i="1" s="1"/>
  <c r="DF86" i="1" s="1"/>
  <c r="DF85" i="1" s="1"/>
  <c r="DF84" i="1" s="1"/>
  <c r="DF83" i="1" s="1"/>
  <c r="DF82" i="1" s="1"/>
  <c r="DF81" i="1" s="1"/>
  <c r="DF80" i="1" s="1"/>
  <c r="DF79" i="1" s="1"/>
  <c r="DF78" i="1" s="1"/>
  <c r="DF77" i="1" s="1"/>
  <c r="DF76" i="1" s="1"/>
  <c r="DF75" i="1" s="1"/>
  <c r="DF74" i="1" s="1"/>
  <c r="DF73" i="1" s="1"/>
  <c r="DF72" i="1" s="1"/>
  <c r="DF71" i="1" s="1"/>
  <c r="DF70" i="1" s="1"/>
  <c r="J69" i="1" s="1"/>
  <c r="J70" i="1" s="1"/>
  <c r="J71" i="1" s="1"/>
  <c r="J72" i="1" s="1"/>
  <c r="J73" i="1" s="1"/>
  <c r="J74" i="1" s="1"/>
  <c r="J75" i="1" s="1"/>
  <c r="J76" i="1" s="1"/>
  <c r="J77" i="1" s="1"/>
  <c r="J78" i="1" s="1"/>
  <c r="J79" i="1" s="1"/>
  <c r="J80" i="1" s="1"/>
  <c r="J81" i="1" s="1"/>
  <c r="J82" i="1" s="1"/>
  <c r="J83" i="1" s="1"/>
  <c r="J84" i="1" s="1"/>
  <c r="J85" i="1" s="1"/>
  <c r="J86" i="1" s="1"/>
  <c r="J87" i="1" s="1"/>
  <c r="J88" i="1" s="1"/>
  <c r="J89" i="1" s="1"/>
  <c r="J90" i="1" s="1"/>
  <c r="J91" i="1" s="1"/>
  <c r="J92" i="1" s="1"/>
  <c r="J93" i="1" s="1"/>
  <c r="J94" i="1" s="1"/>
  <c r="J95" i="1" s="1"/>
  <c r="J96" i="1" s="1"/>
  <c r="J97" i="1" s="1"/>
  <c r="J98" i="1" s="1"/>
  <c r="J99" i="1" s="1"/>
  <c r="DD97" i="1"/>
  <c r="DD96" i="1" s="1"/>
  <c r="DG69" i="1"/>
  <c r="DE97" i="1"/>
  <c r="DE96" i="1" s="1"/>
  <c r="H35" i="1"/>
  <c r="AO69" i="1" s="1"/>
  <c r="AP69" i="1"/>
  <c r="AP76" i="1"/>
  <c r="H42" i="1"/>
  <c r="AO76" i="1" s="1"/>
  <c r="AP92" i="1"/>
  <c r="H58" i="1"/>
  <c r="AO92" i="1" s="1"/>
  <c r="AP95" i="1"/>
  <c r="H61" i="1"/>
  <c r="AO95" i="1" s="1"/>
  <c r="H53" i="1"/>
  <c r="AO87" i="1" s="1"/>
  <c r="AP87" i="1"/>
  <c r="H37" i="1"/>
  <c r="AO71" i="1" s="1"/>
  <c r="AP71" i="1"/>
  <c r="H43" i="1"/>
  <c r="AO77" i="1" s="1"/>
  <c r="AP77" i="1"/>
  <c r="H44" i="1"/>
  <c r="AO78" i="1" s="1"/>
  <c r="AP78" i="1"/>
  <c r="DD95" i="1" l="1"/>
  <c r="DD94" i="1" s="1"/>
  <c r="DD93" i="1" s="1"/>
  <c r="DD92" i="1" s="1"/>
  <c r="DD91" i="1" s="1"/>
  <c r="DD90" i="1" s="1"/>
  <c r="DD89" i="1" s="1"/>
  <c r="DD88" i="1" s="1"/>
  <c r="DD87" i="1" s="1"/>
  <c r="DD86" i="1" s="1"/>
  <c r="DD85" i="1" s="1"/>
  <c r="DD84" i="1" s="1"/>
  <c r="DD83" i="1" s="1"/>
  <c r="DD82" i="1" s="1"/>
  <c r="DD81" i="1" s="1"/>
  <c r="DD80" i="1" s="1"/>
  <c r="DD79" i="1" s="1"/>
  <c r="DD78" i="1" s="1"/>
  <c r="DD77" i="1" s="1"/>
  <c r="DD76" i="1" s="1"/>
  <c r="DD75" i="1" s="1"/>
  <c r="DD74" i="1" s="1"/>
  <c r="DD73" i="1" s="1"/>
  <c r="DD72" i="1" s="1"/>
  <c r="DD71" i="1" s="1"/>
  <c r="DD70" i="1" s="1"/>
  <c r="H69" i="1" s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  <c r="H94" i="1" s="1"/>
  <c r="H95" i="1" s="1"/>
  <c r="H96" i="1" s="1"/>
  <c r="H97" i="1" s="1"/>
  <c r="H98" i="1" s="1"/>
  <c r="H99" i="1" s="1"/>
  <c r="DF69" i="1"/>
  <c r="DE95" i="1"/>
  <c r="DE94" i="1" s="1"/>
  <c r="DE93" i="1" s="1"/>
  <c r="DE92" i="1" s="1"/>
  <c r="DE91" i="1" s="1"/>
  <c r="DE90" i="1" s="1"/>
  <c r="DE89" i="1" s="1"/>
  <c r="DE88" i="1" s="1"/>
  <c r="DE87" i="1" s="1"/>
  <c r="DE86" i="1" s="1"/>
  <c r="DE85" i="1" s="1"/>
  <c r="DE84" i="1" s="1"/>
  <c r="DE83" i="1" s="1"/>
  <c r="DE82" i="1" s="1"/>
  <c r="DE81" i="1" s="1"/>
  <c r="DE80" i="1" s="1"/>
  <c r="DE79" i="1" s="1"/>
  <c r="DE78" i="1" s="1"/>
  <c r="DE77" i="1" s="1"/>
  <c r="DE76" i="1" s="1"/>
  <c r="DE75" i="1" s="1"/>
  <c r="DE74" i="1" s="1"/>
  <c r="DE73" i="1" s="1"/>
  <c r="DE72" i="1" s="1"/>
  <c r="DE71" i="1" s="1"/>
  <c r="DE70" i="1" s="1"/>
  <c r="I69" i="1" s="1"/>
  <c r="I70" i="1" s="1"/>
  <c r="I71" i="1" s="1"/>
  <c r="I72" i="1" s="1"/>
  <c r="I73" i="1" s="1"/>
  <c r="I74" i="1" s="1"/>
  <c r="I75" i="1" s="1"/>
  <c r="I76" i="1" s="1"/>
  <c r="I77" i="1" s="1"/>
  <c r="I78" i="1" s="1"/>
  <c r="I79" i="1" s="1"/>
  <c r="I80" i="1" s="1"/>
  <c r="I81" i="1" s="1"/>
  <c r="I82" i="1" s="1"/>
  <c r="I83" i="1" s="1"/>
  <c r="I84" i="1" s="1"/>
  <c r="I85" i="1" s="1"/>
  <c r="I86" i="1" s="1"/>
  <c r="I87" i="1" s="1"/>
  <c r="I88" i="1" s="1"/>
  <c r="I89" i="1" s="1"/>
  <c r="I90" i="1" s="1"/>
  <c r="I91" i="1" s="1"/>
  <c r="I92" i="1" s="1"/>
  <c r="I93" i="1" s="1"/>
  <c r="I94" i="1" s="1"/>
  <c r="I95" i="1" s="1"/>
  <c r="I96" i="1" s="1"/>
  <c r="I97" i="1" s="1"/>
  <c r="I98" i="1" s="1"/>
  <c r="I99" i="1" s="1"/>
  <c r="B3" i="1"/>
  <c r="DD69" i="1" l="1"/>
  <c r="DE69" i="1"/>
  <c r="F31" i="1"/>
  <c r="F30" i="1" s="1"/>
  <c r="F29" i="1" s="1"/>
  <c r="F28" i="1" s="1"/>
  <c r="F27" i="1" s="1"/>
  <c r="F26" i="1" s="1"/>
  <c r="F25" i="1" s="1"/>
  <c r="F24" i="1" s="1"/>
  <c r="F23" i="1" s="1"/>
  <c r="F22" i="1" s="1"/>
  <c r="F21" i="1" s="1"/>
  <c r="F20" i="1" s="1"/>
  <c r="F19" i="1" s="1"/>
  <c r="F18" i="1" s="1"/>
  <c r="F17" i="1" s="1"/>
  <c r="F16" i="1" s="1"/>
  <c r="F15" i="1" s="1"/>
  <c r="F14" i="1" s="1"/>
  <c r="F13" i="1" s="1"/>
  <c r="F12" i="1" s="1"/>
  <c r="F11" i="1" s="1"/>
  <c r="F10" i="1" s="1"/>
  <c r="F9" i="1" s="1"/>
  <c r="F8" i="1" s="1"/>
  <c r="F7" i="1" s="1"/>
  <c r="F6" i="1" s="1"/>
  <c r="F5" i="1" s="1"/>
  <c r="F4" i="1" s="1"/>
  <c r="F3" i="1" s="1"/>
  <c r="F32" i="1"/>
  <c r="I34" i="1"/>
  <c r="J34" i="1"/>
  <c r="K34" i="1"/>
  <c r="L34" i="1"/>
  <c r="M34" i="1"/>
  <c r="N34" i="1"/>
  <c r="O34" i="1"/>
  <c r="P34" i="1"/>
  <c r="Q34" i="1" s="1"/>
  <c r="R34" i="1" s="1"/>
  <c r="S34" i="1" s="1"/>
  <c r="T34" i="1" s="1"/>
  <c r="U34" i="1" s="1"/>
  <c r="V34" i="1" s="1"/>
  <c r="W34" i="1" s="1"/>
  <c r="X34" i="1" s="1"/>
  <c r="Y34" i="1" s="1"/>
  <c r="Z34" i="1" s="1"/>
  <c r="AA34" i="1" s="1"/>
  <c r="AB34" i="1" s="1"/>
  <c r="AC34" i="1" s="1"/>
  <c r="AD34" i="1" s="1"/>
  <c r="AE34" i="1" s="1"/>
  <c r="AF34" i="1" s="1"/>
  <c r="AG34" i="1" s="1"/>
  <c r="AH34" i="1" s="1"/>
  <c r="AI34" i="1" s="1"/>
  <c r="AJ34" i="1" s="1"/>
  <c r="AK34" i="1" s="1"/>
  <c r="H34" i="1"/>
  <c r="C16" i="1"/>
  <c r="C18" i="1" s="1"/>
  <c r="C12" i="1"/>
  <c r="C17" i="1"/>
  <c r="B6" i="1"/>
  <c r="C13" i="1" s="1"/>
  <c r="C14" i="1"/>
  <c r="B4" i="1"/>
</calcChain>
</file>

<file path=xl/sharedStrings.xml><?xml version="1.0" encoding="utf-8"?>
<sst xmlns="http://schemas.openxmlformats.org/spreadsheetml/2006/main" count="28" uniqueCount="22">
  <si>
    <t>L</t>
  </si>
  <si>
    <t>H</t>
  </si>
  <si>
    <t>dx</t>
  </si>
  <si>
    <t>dy</t>
  </si>
  <si>
    <t>t</t>
  </si>
  <si>
    <t>dt</t>
  </si>
  <si>
    <t>Cp</t>
  </si>
  <si>
    <t>ro</t>
  </si>
  <si>
    <t>lamda</t>
  </si>
  <si>
    <t>A</t>
  </si>
  <si>
    <t>B</t>
  </si>
  <si>
    <t>C</t>
  </si>
  <si>
    <t>X</t>
  </si>
  <si>
    <t>Y</t>
  </si>
  <si>
    <t>T_start</t>
  </si>
  <si>
    <t>T_end</t>
  </si>
  <si>
    <t>Г.У.</t>
  </si>
  <si>
    <t>n+0,5</t>
  </si>
  <si>
    <t>Fi</t>
  </si>
  <si>
    <t>alpha</t>
  </si>
  <si>
    <t>betta</t>
  </si>
  <si>
    <t>n+1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</si>
</sst>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4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b/>
      <sz val="18"/>
      <color rgb="FF000000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</cellStyleXfs>
  <cellXfs count="19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/>
    <xf numFmtId="0" fontId="0" fillId="0" borderId="1" xfId="0" applyFill="1" applyBorder="1"/>
    <xf numFmtId="0" fontId="0" fillId="2" borderId="1" xfId="0" applyFill="1" applyBorder="1" applyAlignment="1">
      <alignment horizontal="center"/>
    </xf>
    <xf numFmtId="0" fontId="0" fillId="2" borderId="1" xfId="0" applyFill="1" applyBorder="1"/>
    <xf numFmtId="2" fontId="0" fillId="2" borderId="1" xfId="0" applyNumberFormat="1" applyFill="1" applyBorder="1"/>
    <xf numFmtId="0" fontId="0" fillId="2" borderId="2" xfId="0" applyFill="1" applyBorder="1"/>
    <xf numFmtId="2" fontId="0" fillId="2" borderId="2" xfId="0" applyNumberFormat="1" applyFill="1" applyBorder="1"/>
    <xf numFmtId="0" fontId="1" fillId="6" borderId="1" xfId="4" applyBorder="1"/>
    <xf numFmtId="0" fontId="1" fillId="3" borderId="1" xfId="1" applyBorder="1"/>
    <xf numFmtId="0" fontId="0" fillId="0" borderId="0" xfId="0" applyFill="1" applyBorder="1"/>
    <xf numFmtId="0" fontId="0" fillId="0" borderId="0" xfId="0" applyBorder="1"/>
    <xf numFmtId="164" fontId="1" fillId="6" borderId="1" xfId="4" applyNumberFormat="1" applyBorder="1"/>
    <xf numFmtId="0" fontId="1" fillId="5" borderId="1" xfId="3" applyBorder="1"/>
    <xf numFmtId="0" fontId="1" fillId="5" borderId="1" xfId="3" applyBorder="1" applyAlignment="1">
      <alignment horizontal="center" vertical="center"/>
    </xf>
    <xf numFmtId="0" fontId="1" fillId="4" borderId="1" xfId="2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0" fillId="8" borderId="1" xfId="0" applyFill="1" applyBorder="1"/>
  </cellXfs>
  <cellStyles count="5">
    <cellStyle name="20% — акцент1" xfId="1" builtinId="30"/>
    <cellStyle name="20% — акцент5" xfId="4" builtinId="46"/>
    <cellStyle name="40% — акцент1" xfId="2" builtinId="31"/>
    <cellStyle name="40% — акцент3" xfId="3" builtinId="39"/>
    <cellStyle name="Обычный" xfId="0" builtinId="0"/>
  </cellStyles>
  <dxfs count="0"/>
  <tableStyles count="0" defaultTableStyle="TableStyleMedium2" defaultPivotStyle="PivotStyleLight16"/>
  <colors>
    <mruColors>
      <color rgb="FFFE9C9C"/>
      <color rgb="FF140CB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258171599981888E-2"/>
          <c:y val="1.9730479751473174E-2"/>
          <c:w val="0.91065556565062611"/>
          <c:h val="0.87715142276968927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44450" cap="rnd">
              <a:gradFill>
                <a:gsLst>
                  <a:gs pos="0">
                    <a:srgbClr val="FF0000"/>
                  </a:gs>
                  <a:gs pos="71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rgbClr val="140CBC"/>
                  </a:gs>
                </a:gsLst>
                <a:lin ang="5400000" scaled="1"/>
              </a:gra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Лист1!$G$34:$AK$34</c:f>
              <c:numCache>
                <c:formatCode>0.00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Лист1!$G$33:$AK$33</c:f>
              <c:numCache>
                <c:formatCode>General</c:formatCode>
                <c:ptCount val="31"/>
                <c:pt idx="0">
                  <c:v>300</c:v>
                </c:pt>
                <c:pt idx="1">
                  <c:v>280.20114262798575</c:v>
                </c:pt>
                <c:pt idx="2">
                  <c:v>260.57053452366904</c:v>
                </c:pt>
                <c:pt idx="3">
                  <c:v>241.27335396752648</c:v>
                </c:pt>
                <c:pt idx="4">
                  <c:v>222.46874067679329</c:v>
                </c:pt>
                <c:pt idx="5">
                  <c:v>204.30702925674711</c:v>
                </c:pt>
                <c:pt idx="6">
                  <c:v>186.92727013670753</c:v>
                </c:pt>
                <c:pt idx="7">
                  <c:v>170.45510875086393</c:v>
                </c:pt>
                <c:pt idx="8">
                  <c:v>155.00107463428782</c:v>
                </c:pt>
                <c:pt idx="9">
                  <c:v>140.65931099015725</c:v>
                </c:pt>
                <c:pt idx="10">
                  <c:v>127.50675361804741</c:v>
                </c:pt>
                <c:pt idx="11">
                  <c:v>115.60274732960715</c:v>
                </c:pt>
                <c:pt idx="12">
                  <c:v>104.98906943559079</c:v>
                </c:pt>
                <c:pt idx="13">
                  <c:v>95.690314648076651</c:v>
                </c:pt>
                <c:pt idx="14">
                  <c:v>87.714584570723531</c:v>
                </c:pt>
                <c:pt idx="15">
                  <c:v>81.054418255410837</c:v>
                </c:pt>
                <c:pt idx="16">
                  <c:v>75.687898121720991</c:v>
                </c:pt>
                <c:pt idx="17">
                  <c:v>71.579867553261224</c:v>
                </c:pt>
                <c:pt idx="18">
                  <c:v>68.683202090851438</c:v>
                </c:pt>
                <c:pt idx="19">
                  <c:v>66.940084503407633</c:v>
                </c:pt>
                <c:pt idx="20">
                  <c:v>66.283244166503053</c:v>
                </c:pt>
                <c:pt idx="21">
                  <c:v>66.637132112903004</c:v>
                </c:pt>
                <c:pt idx="22">
                  <c:v>67.919013891339318</c:v>
                </c:pt>
                <c:pt idx="23">
                  <c:v>70.03997216809131</c:v>
                </c:pt>
                <c:pt idx="24">
                  <c:v>72.905819217013843</c:v>
                </c:pt>
                <c:pt idx="25">
                  <c:v>76.417925689672501</c:v>
                </c:pt>
                <c:pt idx="26">
                  <c:v>80.473976208137387</c:v>
                </c:pt>
                <c:pt idx="27">
                  <c:v>84.968664482862465</c:v>
                </c:pt>
                <c:pt idx="28">
                  <c:v>89.794341128753132</c:v>
                </c:pt>
                <c:pt idx="29">
                  <c:v>94.841626578966299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8FB3-4DF9-8435-C8634FD9C8D5}"/>
            </c:ext>
          </c:extLst>
        </c:ser>
        <c:ser>
          <c:idx val="1"/>
          <c:order val="1"/>
          <c:tx>
            <c:v>2</c:v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none"/>
          </c:marker>
          <c:xVal>
            <c:numRef>
              <c:f>'[1]неявная схема'!$F$4:$AJ$4</c:f>
              <c:numCache>
                <c:formatCode>0.00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'[1]неявная схема'!$F$5:$AJ$5</c:f>
              <c:numCache>
                <c:formatCode>General</c:formatCode>
                <c:ptCount val="31"/>
                <c:pt idx="0">
                  <c:v>300</c:v>
                </c:pt>
                <c:pt idx="1">
                  <c:v>280.20114262798529</c:v>
                </c:pt>
                <c:pt idx="2">
                  <c:v>260.5705345236683</c:v>
                </c:pt>
                <c:pt idx="3">
                  <c:v>241.27335396752537</c:v>
                </c:pt>
                <c:pt idx="4">
                  <c:v>222.46874067679184</c:v>
                </c:pt>
                <c:pt idx="5">
                  <c:v>204.30702925674547</c:v>
                </c:pt>
                <c:pt idx="6">
                  <c:v>186.92727013670577</c:v>
                </c:pt>
                <c:pt idx="7">
                  <c:v>170.45510875086208</c:v>
                </c:pt>
                <c:pt idx="8">
                  <c:v>155.00107463428594</c:v>
                </c:pt>
                <c:pt idx="9">
                  <c:v>140.65931099015546</c:v>
                </c:pt>
                <c:pt idx="10">
                  <c:v>127.50675361804566</c:v>
                </c:pt>
                <c:pt idx="11">
                  <c:v>115.60274732960545</c:v>
                </c:pt>
                <c:pt idx="12">
                  <c:v>104.98906943558907</c:v>
                </c:pt>
                <c:pt idx="13">
                  <c:v>95.690314648074946</c:v>
                </c:pt>
                <c:pt idx="14">
                  <c:v>87.714584570721854</c:v>
                </c:pt>
                <c:pt idx="15">
                  <c:v>81.054418255409161</c:v>
                </c:pt>
                <c:pt idx="16">
                  <c:v>75.687898121719343</c:v>
                </c:pt>
                <c:pt idx="17">
                  <c:v>71.579867553259618</c:v>
                </c:pt>
                <c:pt idx="18">
                  <c:v>68.683202090849875</c:v>
                </c:pt>
                <c:pt idx="19">
                  <c:v>66.940084503406112</c:v>
                </c:pt>
                <c:pt idx="20">
                  <c:v>66.283244166501575</c:v>
                </c:pt>
                <c:pt idx="21">
                  <c:v>66.637132112901568</c:v>
                </c:pt>
                <c:pt idx="22">
                  <c:v>67.919013891337954</c:v>
                </c:pt>
                <c:pt idx="23">
                  <c:v>70.039972168090003</c:v>
                </c:pt>
                <c:pt idx="24">
                  <c:v>72.90581921701262</c:v>
                </c:pt>
                <c:pt idx="25">
                  <c:v>76.417925689671378</c:v>
                </c:pt>
                <c:pt idx="26">
                  <c:v>80.473976208136378</c:v>
                </c:pt>
                <c:pt idx="27">
                  <c:v>84.968664482861627</c:v>
                </c:pt>
                <c:pt idx="28">
                  <c:v>89.794341128752521</c:v>
                </c:pt>
                <c:pt idx="29">
                  <c:v>94.841626578965943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8FB3-4DF9-8435-C8634FD9C8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827456"/>
        <c:axId val="325223120"/>
      </c:scatterChart>
      <c:valAx>
        <c:axId val="463827456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25223120"/>
        <c:crosses val="autoZero"/>
        <c:crossBetween val="midCat"/>
      </c:valAx>
      <c:valAx>
        <c:axId val="325223120"/>
        <c:scaling>
          <c:orientation val="minMax"/>
          <c:max val="320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3827456"/>
        <c:crosses val="autoZero"/>
        <c:crossBetween val="midCat"/>
      </c:valAx>
      <c:spPr>
        <a:noFill/>
        <a:ln>
          <a:solidFill>
            <a:schemeClr val="accent5">
              <a:lumMod val="40000"/>
              <a:lumOff val="60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accent1">
          <a:lumMod val="40000"/>
          <a:lumOff val="60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236220</xdr:colOff>
          <xdr:row>22</xdr:row>
          <xdr:rowOff>91440</xdr:rowOff>
        </xdr:from>
        <xdr:to>
          <xdr:col>4</xdr:col>
          <xdr:colOff>175260</xdr:colOff>
          <xdr:row>27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ru-RU" sz="18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check</a:t>
              </a:r>
            </a:p>
          </xdr:txBody>
        </xdr:sp>
        <xdr:clientData fPrintsWithSheet="0"/>
      </xdr:twoCellAnchor>
    </mc:Choice>
    <mc:Fallback/>
  </mc:AlternateContent>
  <xdr:twoCellAnchor>
    <xdr:from>
      <xdr:col>40</xdr:col>
      <xdr:colOff>977661</xdr:colOff>
      <xdr:row>4</xdr:row>
      <xdr:rowOff>1436</xdr:rowOff>
    </xdr:from>
    <xdr:to>
      <xdr:col>47</xdr:col>
      <xdr:colOff>675736</xdr:colOff>
      <xdr:row>30</xdr:row>
      <xdr:rowOff>14377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41</xdr:col>
      <xdr:colOff>14377</xdr:colOff>
      <xdr:row>4</xdr:row>
      <xdr:rowOff>38100</xdr:rowOff>
    </xdr:from>
    <xdr:ext cx="380553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 txBox="1"/>
          </xdr:nvSpPr>
          <xdr:spPr>
            <a:xfrm>
              <a:off x="26455777" y="769620"/>
              <a:ext cx="380553" cy="219163"/>
            </a:xfrm>
            <a:prstGeom prst="rect">
              <a:avLst/>
            </a:prstGeom>
            <a:solidFill>
              <a:schemeClr val="tx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40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, ℃</m:t>
                    </m:r>
                  </m:oMath>
                </m:oMathPara>
              </a14:m>
              <a:endParaRPr lang="ru-RU" sz="14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D6578A0E-5845-4A81-A13E-F346F46A319B}"/>
                </a:ext>
              </a:extLst>
            </xdr:cNvPr>
            <xdr:cNvSpPr txBox="1"/>
          </xdr:nvSpPr>
          <xdr:spPr>
            <a:xfrm>
              <a:off x="26455777" y="769620"/>
              <a:ext cx="380553" cy="219163"/>
            </a:xfrm>
            <a:prstGeom prst="rect">
              <a:avLst/>
            </a:prstGeom>
            <a:solidFill>
              <a:schemeClr val="tx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𝑇, ℃</a:t>
              </a:r>
              <a:endParaRPr lang="ru-RU" sz="14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0.93574</cdr:x>
      <cdr:y>0.90154</cdr:y>
    </cdr:from>
    <cdr:to>
      <cdr:x>1</cdr:x>
      <cdr:y>0.95407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Box 3">
              <a:extLst xmlns:a="http://schemas.openxmlformats.org/drawingml/2006/main"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cdr:cNvPr>
            <cdr:cNvSpPr txBox="1"/>
          </cdr:nvSpPr>
          <cdr:spPr>
            <a:xfrm xmlns:a="http://schemas.openxmlformats.org/drawingml/2006/main">
              <a:off x="5993625" y="4298401"/>
              <a:ext cx="411523" cy="25045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tx1">
                <a:lumMod val="95000"/>
                <a:lumOff val="5000"/>
              </a:schemeClr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60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, </m:t>
                    </m:r>
                    <m:r>
                      <a:rPr lang="en-US" sz="160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𝑚</m:t>
                    </m:r>
                  </m:oMath>
                </m:oMathPara>
              </a14:m>
              <a:endParaRPr lang="ru-RU" sz="1600">
                <a:solidFill>
                  <a:schemeClr val="bg1"/>
                </a:solidFill>
              </a:endParaRPr>
            </a:p>
          </cdr:txBody>
        </cdr:sp>
      </mc:Choice>
      <mc:Fallback xmlns="">
        <cdr:sp macro="" textlink="">
          <cdr:nvSpPr>
            <cdr:cNvPr id="2" name="TextBox 3">
              <a:extLst xmlns:a="http://schemas.openxmlformats.org/drawingml/2006/main"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cdr:cNvPr>
            <cdr:cNvSpPr txBox="1"/>
          </cdr:nvSpPr>
          <cdr:spPr>
            <a:xfrm xmlns:a="http://schemas.openxmlformats.org/drawingml/2006/main">
              <a:off x="5993625" y="4298401"/>
              <a:ext cx="411523" cy="25045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tx1">
                <a:lumMod val="95000"/>
                <a:lumOff val="5000"/>
              </a:schemeClr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US" sz="16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𝐿, 𝑚</a:t>
              </a:r>
              <a:endParaRPr lang="ru-RU" sz="1600">
                <a:solidFill>
                  <a:schemeClr val="bg1"/>
                </a:solidFill>
              </a:endParaRPr>
            </a:p>
          </cdr:txBody>
        </cdr:sp>
      </mc:Fallback>
    </mc:AlternateContent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kr_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явная схема"/>
      <sheetName val="неявная схема"/>
    </sheetNames>
    <sheetDataSet>
      <sheetData sheetId="0"/>
      <sheetData sheetId="1">
        <row r="4">
          <cell r="F4">
            <v>0</v>
          </cell>
          <cell r="G4">
            <v>3.3333333333333335E-3</v>
          </cell>
          <cell r="H4">
            <v>6.6666666666666671E-3</v>
          </cell>
          <cell r="I4">
            <v>0.01</v>
          </cell>
          <cell r="J4">
            <v>1.3333333333333334E-2</v>
          </cell>
          <cell r="K4">
            <v>1.6666666666666666E-2</v>
          </cell>
          <cell r="L4">
            <v>0.02</v>
          </cell>
          <cell r="M4">
            <v>2.3333333333333334E-2</v>
          </cell>
          <cell r="N4">
            <v>2.6666666666666668E-2</v>
          </cell>
          <cell r="O4">
            <v>3.0000000000000002E-2</v>
          </cell>
          <cell r="P4">
            <v>3.3333333333333333E-2</v>
          </cell>
          <cell r="Q4">
            <v>3.6666666666666667E-2</v>
          </cell>
          <cell r="R4">
            <v>0.04</v>
          </cell>
          <cell r="S4">
            <v>4.3333333333333335E-2</v>
          </cell>
          <cell r="T4">
            <v>4.6666666666666669E-2</v>
          </cell>
          <cell r="U4">
            <v>0.05</v>
          </cell>
          <cell r="V4">
            <v>5.3333333333333337E-2</v>
          </cell>
          <cell r="W4">
            <v>5.6666666666666671E-2</v>
          </cell>
          <cell r="X4">
            <v>6.0000000000000005E-2</v>
          </cell>
          <cell r="Y4">
            <v>6.3333333333333339E-2</v>
          </cell>
          <cell r="Z4">
            <v>6.6666666666666666E-2</v>
          </cell>
          <cell r="AA4">
            <v>6.9999999999999993E-2</v>
          </cell>
          <cell r="AB4">
            <v>7.333333333333332E-2</v>
          </cell>
          <cell r="AC4">
            <v>7.6666666666666647E-2</v>
          </cell>
          <cell r="AD4">
            <v>7.9999999999999974E-2</v>
          </cell>
          <cell r="AE4">
            <v>8.3333333333333301E-2</v>
          </cell>
          <cell r="AF4">
            <v>8.6666666666666628E-2</v>
          </cell>
          <cell r="AG4">
            <v>8.9999999999999955E-2</v>
          </cell>
          <cell r="AH4">
            <v>9.3333333333333282E-2</v>
          </cell>
          <cell r="AI4">
            <v>9.6666666666666609E-2</v>
          </cell>
          <cell r="AJ4">
            <v>9.9999999999999936E-2</v>
          </cell>
        </row>
        <row r="5">
          <cell r="F5">
            <v>300</v>
          </cell>
          <cell r="G5">
            <v>280.20114262798529</v>
          </cell>
          <cell r="H5">
            <v>260.5705345236683</v>
          </cell>
          <cell r="I5">
            <v>241.27335396752537</v>
          </cell>
          <cell r="J5">
            <v>222.46874067679184</v>
          </cell>
          <cell r="K5">
            <v>204.30702925674547</v>
          </cell>
          <cell r="L5">
            <v>186.92727013670577</v>
          </cell>
          <cell r="M5">
            <v>170.45510875086208</v>
          </cell>
          <cell r="N5">
            <v>155.00107463428594</v>
          </cell>
          <cell r="O5">
            <v>140.65931099015546</v>
          </cell>
          <cell r="P5">
            <v>127.50675361804566</v>
          </cell>
          <cell r="Q5">
            <v>115.60274732960545</v>
          </cell>
          <cell r="R5">
            <v>104.98906943558907</v>
          </cell>
          <cell r="S5">
            <v>95.690314648074946</v>
          </cell>
          <cell r="T5">
            <v>87.714584570721854</v>
          </cell>
          <cell r="U5">
            <v>81.054418255409161</v>
          </cell>
          <cell r="V5">
            <v>75.687898121719343</v>
          </cell>
          <cell r="W5">
            <v>71.579867553259618</v>
          </cell>
          <cell r="X5">
            <v>68.683202090849875</v>
          </cell>
          <cell r="Y5">
            <v>66.940084503406112</v>
          </cell>
          <cell r="Z5">
            <v>66.283244166501575</v>
          </cell>
          <cell r="AA5">
            <v>66.637132112901568</v>
          </cell>
          <cell r="AB5">
            <v>67.919013891337954</v>
          </cell>
          <cell r="AC5">
            <v>70.039972168090003</v>
          </cell>
          <cell r="AD5">
            <v>72.90581921701262</v>
          </cell>
          <cell r="AE5">
            <v>76.417925689671378</v>
          </cell>
          <cell r="AF5">
            <v>80.473976208136378</v>
          </cell>
          <cell r="AG5">
            <v>84.968664482861627</v>
          </cell>
          <cell r="AH5">
            <v>89.794341128752521</v>
          </cell>
          <cell r="AI5">
            <v>94.841626578965943</v>
          </cell>
          <cell r="AJ5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6BA1B-6A0D-4530-AF4E-CEDFE925D169}">
  <sheetPr codeName="Лист1"/>
  <dimension ref="A1:EG99"/>
  <sheetViews>
    <sheetView tabSelected="1" topLeftCell="N1" zoomScale="54" zoomScaleNormal="100" workbookViewId="0">
      <selection activeCell="H3" sqref="H3:AJ33"/>
    </sheetView>
  </sheetViews>
  <sheetFormatPr defaultRowHeight="14.4" x14ac:dyDescent="0.3"/>
  <cols>
    <col min="2" max="2" width="9.109375" bestFit="1" customWidth="1"/>
    <col min="3" max="3" width="11.33203125" bestFit="1" customWidth="1"/>
    <col min="6" max="38" width="9.109375" bestFit="1" customWidth="1"/>
    <col min="40" max="44" width="14.5546875" bestFit="1" customWidth="1"/>
    <col min="45" max="65" width="14.44140625" bestFit="1" customWidth="1"/>
    <col min="66" max="69" width="15.5546875" bestFit="1" customWidth="1"/>
    <col min="70" max="70" width="13.21875" bestFit="1" customWidth="1"/>
  </cols>
  <sheetData>
    <row r="1" spans="1:38" x14ac:dyDescent="0.3">
      <c r="A1" s="14" t="s">
        <v>0</v>
      </c>
      <c r="B1" s="9">
        <v>0.1</v>
      </c>
    </row>
    <row r="2" spans="1:38" x14ac:dyDescent="0.3">
      <c r="A2" s="14" t="s">
        <v>1</v>
      </c>
      <c r="B2" s="9">
        <v>0.1</v>
      </c>
      <c r="F2" s="5"/>
      <c r="G2" s="5">
        <v>1</v>
      </c>
      <c r="H2" s="5">
        <v>2</v>
      </c>
      <c r="I2" s="5">
        <v>3</v>
      </c>
      <c r="J2" s="5">
        <v>4</v>
      </c>
      <c r="K2" s="5">
        <v>5</v>
      </c>
      <c r="L2" s="5">
        <v>6</v>
      </c>
      <c r="M2" s="5">
        <v>7</v>
      </c>
      <c r="N2" s="5">
        <v>8</v>
      </c>
      <c r="O2" s="5">
        <v>9</v>
      </c>
      <c r="P2" s="5">
        <v>10</v>
      </c>
      <c r="Q2" s="5">
        <v>11</v>
      </c>
      <c r="R2" s="5">
        <v>12</v>
      </c>
      <c r="S2" s="5">
        <v>13</v>
      </c>
      <c r="T2" s="5">
        <v>14</v>
      </c>
      <c r="U2" s="5">
        <v>15</v>
      </c>
      <c r="V2" s="5">
        <v>16</v>
      </c>
      <c r="W2" s="5">
        <v>17</v>
      </c>
      <c r="X2" s="5">
        <v>18</v>
      </c>
      <c r="Y2" s="5">
        <v>19</v>
      </c>
      <c r="Z2" s="5">
        <v>20</v>
      </c>
      <c r="AA2" s="5">
        <v>21</v>
      </c>
      <c r="AB2" s="5">
        <v>22</v>
      </c>
      <c r="AC2" s="5">
        <v>23</v>
      </c>
      <c r="AD2" s="5">
        <v>24</v>
      </c>
      <c r="AE2" s="5">
        <v>25</v>
      </c>
      <c r="AF2" s="5">
        <v>26</v>
      </c>
      <c r="AG2" s="5">
        <v>27</v>
      </c>
      <c r="AH2" s="5">
        <v>28</v>
      </c>
      <c r="AI2" s="5">
        <v>29</v>
      </c>
      <c r="AJ2" s="5">
        <v>30</v>
      </c>
      <c r="AK2" s="5">
        <v>31</v>
      </c>
      <c r="AL2" s="4"/>
    </row>
    <row r="3" spans="1:38" x14ac:dyDescent="0.3">
      <c r="A3" s="14" t="s">
        <v>2</v>
      </c>
      <c r="B3" s="13">
        <f>B1/30</f>
        <v>3.3333333333333335E-3</v>
      </c>
      <c r="F3" s="6">
        <f t="shared" ref="F3:F31" si="0">F4+$B$4</f>
        <v>9.9999999999999936E-2</v>
      </c>
      <c r="G3" s="2">
        <v>300</v>
      </c>
      <c r="H3" s="2">
        <v>280.20114262798569</v>
      </c>
      <c r="I3" s="2">
        <v>260.57053452366904</v>
      </c>
      <c r="J3" s="2">
        <v>241.27335396752633</v>
      </c>
      <c r="K3" s="2">
        <v>222.46874067679306</v>
      </c>
      <c r="L3" s="2">
        <v>204.30702925674689</v>
      </c>
      <c r="M3" s="2">
        <v>186.92727013670736</v>
      </c>
      <c r="N3" s="2">
        <v>170.45510875086376</v>
      </c>
      <c r="O3" s="2">
        <v>155.00107463428762</v>
      </c>
      <c r="P3" s="2">
        <v>140.65931099015714</v>
      </c>
      <c r="Q3" s="2">
        <v>127.5067536180474</v>
      </c>
      <c r="R3" s="2">
        <v>115.60274732960714</v>
      </c>
      <c r="S3" s="2">
        <v>104.98906943559072</v>
      </c>
      <c r="T3" s="2">
        <v>95.69031464807658</v>
      </c>
      <c r="U3" s="2">
        <v>87.714584570723474</v>
      </c>
      <c r="V3" s="2">
        <v>81.054418255410823</v>
      </c>
      <c r="W3" s="2">
        <v>75.687898121720977</v>
      </c>
      <c r="X3" s="2">
        <v>71.579867553261224</v>
      </c>
      <c r="Y3" s="2">
        <v>68.683202090851438</v>
      </c>
      <c r="Z3" s="2">
        <v>66.940084503407633</v>
      </c>
      <c r="AA3" s="2">
        <v>66.283244166503053</v>
      </c>
      <c r="AB3" s="2">
        <v>66.637132112903004</v>
      </c>
      <c r="AC3" s="2">
        <v>67.919013891339318</v>
      </c>
      <c r="AD3" s="2">
        <v>70.039972168091325</v>
      </c>
      <c r="AE3" s="2">
        <v>72.905819217013843</v>
      </c>
      <c r="AF3" s="2">
        <v>76.417925689672515</v>
      </c>
      <c r="AG3" s="2">
        <v>80.473976208137358</v>
      </c>
      <c r="AH3" s="2">
        <v>84.968664482862437</v>
      </c>
      <c r="AI3" s="2">
        <v>89.794341128753103</v>
      </c>
      <c r="AJ3" s="2">
        <v>94.84162657896627</v>
      </c>
      <c r="AK3" s="2">
        <v>100</v>
      </c>
      <c r="AL3" s="4">
        <v>31</v>
      </c>
    </row>
    <row r="4" spans="1:38" x14ac:dyDescent="0.3">
      <c r="A4" s="14" t="s">
        <v>3</v>
      </c>
      <c r="B4" s="13">
        <f>B2/30</f>
        <v>3.3333333333333335E-3</v>
      </c>
      <c r="F4" s="6">
        <f t="shared" si="0"/>
        <v>9.6666666666666609E-2</v>
      </c>
      <c r="G4" s="2">
        <v>300</v>
      </c>
      <c r="H4" s="2">
        <v>280.20114262798569</v>
      </c>
      <c r="I4" s="2">
        <v>260.57053452366904</v>
      </c>
      <c r="J4" s="2">
        <v>241.27335396752633</v>
      </c>
      <c r="K4" s="2">
        <v>222.46874067679306</v>
      </c>
      <c r="L4" s="2">
        <v>204.30702925674689</v>
      </c>
      <c r="M4" s="2">
        <v>186.92727013670736</v>
      </c>
      <c r="N4" s="2">
        <v>170.45510875086376</v>
      </c>
      <c r="O4" s="2">
        <v>155.00107463428762</v>
      </c>
      <c r="P4" s="2">
        <v>140.65931099015714</v>
      </c>
      <c r="Q4" s="2">
        <v>127.5067536180474</v>
      </c>
      <c r="R4" s="2">
        <v>115.60274732960714</v>
      </c>
      <c r="S4" s="2">
        <v>104.98906943559072</v>
      </c>
      <c r="T4" s="2">
        <v>95.69031464807658</v>
      </c>
      <c r="U4" s="2">
        <v>87.714584570723474</v>
      </c>
      <c r="V4" s="2">
        <v>81.054418255410823</v>
      </c>
      <c r="W4" s="2">
        <v>75.687898121720977</v>
      </c>
      <c r="X4" s="2">
        <v>71.579867553261224</v>
      </c>
      <c r="Y4" s="2">
        <v>68.683202090851438</v>
      </c>
      <c r="Z4" s="2">
        <v>66.940084503407633</v>
      </c>
      <c r="AA4" s="2">
        <v>66.283244166503053</v>
      </c>
      <c r="AB4" s="2">
        <v>66.637132112903004</v>
      </c>
      <c r="AC4" s="2">
        <v>67.919013891339318</v>
      </c>
      <c r="AD4" s="2">
        <v>70.039972168091325</v>
      </c>
      <c r="AE4" s="2">
        <v>72.905819217013843</v>
      </c>
      <c r="AF4" s="2">
        <v>76.417925689672515</v>
      </c>
      <c r="AG4" s="2">
        <v>80.473976208137358</v>
      </c>
      <c r="AH4" s="2">
        <v>84.968664482862437</v>
      </c>
      <c r="AI4" s="2">
        <v>89.794341128753103</v>
      </c>
      <c r="AJ4" s="2">
        <v>94.84162657896627</v>
      </c>
      <c r="AK4" s="2">
        <v>100</v>
      </c>
      <c r="AL4" s="4">
        <v>30</v>
      </c>
    </row>
    <row r="5" spans="1:38" x14ac:dyDescent="0.3">
      <c r="A5" s="14" t="s">
        <v>4</v>
      </c>
      <c r="B5" s="9">
        <v>60</v>
      </c>
      <c r="F5" s="6">
        <f t="shared" si="0"/>
        <v>9.3333333333333282E-2</v>
      </c>
      <c r="G5" s="2">
        <v>300</v>
      </c>
      <c r="H5" s="2">
        <v>280.20114262798569</v>
      </c>
      <c r="I5" s="2">
        <v>260.57053452366904</v>
      </c>
      <c r="J5" s="2">
        <v>241.27335396752633</v>
      </c>
      <c r="K5" s="2">
        <v>222.46874067679306</v>
      </c>
      <c r="L5" s="2">
        <v>204.30702925674689</v>
      </c>
      <c r="M5" s="2">
        <v>186.92727013670736</v>
      </c>
      <c r="N5" s="2">
        <v>170.45510875086376</v>
      </c>
      <c r="O5" s="2">
        <v>155.00107463428762</v>
      </c>
      <c r="P5" s="2">
        <v>140.65931099015714</v>
      </c>
      <c r="Q5" s="2">
        <v>127.5067536180474</v>
      </c>
      <c r="R5" s="2">
        <v>115.60274732960714</v>
      </c>
      <c r="S5" s="2">
        <v>104.98906943559072</v>
      </c>
      <c r="T5" s="2">
        <v>95.69031464807658</v>
      </c>
      <c r="U5" s="2">
        <v>87.714584570723474</v>
      </c>
      <c r="V5" s="2">
        <v>81.054418255410823</v>
      </c>
      <c r="W5" s="2">
        <v>75.687898121720977</v>
      </c>
      <c r="X5" s="2">
        <v>71.579867553261224</v>
      </c>
      <c r="Y5" s="2">
        <v>68.683202090851438</v>
      </c>
      <c r="Z5" s="2">
        <v>66.940084503407633</v>
      </c>
      <c r="AA5" s="2">
        <v>66.283244166503053</v>
      </c>
      <c r="AB5" s="2">
        <v>66.637132112903004</v>
      </c>
      <c r="AC5" s="2">
        <v>67.919013891339318</v>
      </c>
      <c r="AD5" s="2">
        <v>70.039972168091325</v>
      </c>
      <c r="AE5" s="2">
        <v>72.905819217013843</v>
      </c>
      <c r="AF5" s="2">
        <v>76.417925689672515</v>
      </c>
      <c r="AG5" s="2">
        <v>80.473976208137358</v>
      </c>
      <c r="AH5" s="2">
        <v>84.968664482862437</v>
      </c>
      <c r="AI5" s="2">
        <v>89.794341128753103</v>
      </c>
      <c r="AJ5" s="2">
        <v>94.84162657896627</v>
      </c>
      <c r="AK5" s="2">
        <v>100</v>
      </c>
      <c r="AL5" s="4">
        <v>29</v>
      </c>
    </row>
    <row r="6" spans="1:38" x14ac:dyDescent="0.3">
      <c r="A6" s="14" t="s">
        <v>5</v>
      </c>
      <c r="B6" s="9">
        <f>((B3^2)*B8*B9)/(2*B10)</f>
        <v>0.4333333333333334</v>
      </c>
      <c r="C6">
        <v>60.233333333333341</v>
      </c>
      <c r="F6" s="6">
        <f t="shared" si="0"/>
        <v>8.9999999999999955E-2</v>
      </c>
      <c r="G6" s="2">
        <v>300</v>
      </c>
      <c r="H6" s="2">
        <v>280.20114262798569</v>
      </c>
      <c r="I6" s="2">
        <v>260.57053452366904</v>
      </c>
      <c r="J6" s="2">
        <v>241.27335396752633</v>
      </c>
      <c r="K6" s="2">
        <v>222.46874067679306</v>
      </c>
      <c r="L6" s="2">
        <v>204.30702925674689</v>
      </c>
      <c r="M6" s="2">
        <v>186.92727013670736</v>
      </c>
      <c r="N6" s="2">
        <v>170.45510875086376</v>
      </c>
      <c r="O6" s="2">
        <v>155.00107463428762</v>
      </c>
      <c r="P6" s="2">
        <v>140.65931099015714</v>
      </c>
      <c r="Q6" s="2">
        <v>127.5067536180474</v>
      </c>
      <c r="R6" s="2">
        <v>115.60274732960714</v>
      </c>
      <c r="S6" s="2">
        <v>104.98906943559072</v>
      </c>
      <c r="T6" s="2">
        <v>95.69031464807658</v>
      </c>
      <c r="U6" s="2">
        <v>87.714584570723474</v>
      </c>
      <c r="V6" s="2">
        <v>81.054418255410823</v>
      </c>
      <c r="W6" s="2">
        <v>75.687898121720977</v>
      </c>
      <c r="X6" s="2">
        <v>71.579867553261224</v>
      </c>
      <c r="Y6" s="2">
        <v>68.683202090851438</v>
      </c>
      <c r="Z6" s="2">
        <v>66.940084503407633</v>
      </c>
      <c r="AA6" s="2">
        <v>66.283244166503053</v>
      </c>
      <c r="AB6" s="2">
        <v>66.637132112903004</v>
      </c>
      <c r="AC6" s="2">
        <v>67.919013891339318</v>
      </c>
      <c r="AD6" s="2">
        <v>70.039972168091325</v>
      </c>
      <c r="AE6" s="2">
        <v>72.905819217013843</v>
      </c>
      <c r="AF6" s="2">
        <v>76.417925689672515</v>
      </c>
      <c r="AG6" s="2">
        <v>80.473976208137358</v>
      </c>
      <c r="AH6" s="2">
        <v>84.968664482862437</v>
      </c>
      <c r="AI6" s="2">
        <v>89.794341128753103</v>
      </c>
      <c r="AJ6" s="2">
        <v>94.84162657896627</v>
      </c>
      <c r="AK6" s="2">
        <v>100</v>
      </c>
      <c r="AL6" s="4">
        <v>28</v>
      </c>
    </row>
    <row r="7" spans="1:38" x14ac:dyDescent="0.3">
      <c r="F7" s="6">
        <f t="shared" si="0"/>
        <v>8.6666666666666628E-2</v>
      </c>
      <c r="G7" s="2">
        <v>300</v>
      </c>
      <c r="H7" s="2">
        <v>280.20114262798569</v>
      </c>
      <c r="I7" s="2">
        <v>260.57053452366904</v>
      </c>
      <c r="J7" s="2">
        <v>241.27335396752633</v>
      </c>
      <c r="K7" s="2">
        <v>222.46874067679306</v>
      </c>
      <c r="L7" s="2">
        <v>204.30702925674689</v>
      </c>
      <c r="M7" s="2">
        <v>186.92727013670736</v>
      </c>
      <c r="N7" s="2">
        <v>170.45510875086376</v>
      </c>
      <c r="O7" s="2">
        <v>155.00107463428762</v>
      </c>
      <c r="P7" s="2">
        <v>140.65931099015714</v>
      </c>
      <c r="Q7" s="2">
        <v>127.5067536180474</v>
      </c>
      <c r="R7" s="2">
        <v>115.60274732960714</v>
      </c>
      <c r="S7" s="2">
        <v>104.98906943559072</v>
      </c>
      <c r="T7" s="2">
        <v>95.69031464807658</v>
      </c>
      <c r="U7" s="2">
        <v>87.714584570723474</v>
      </c>
      <c r="V7" s="2">
        <v>81.054418255410823</v>
      </c>
      <c r="W7" s="2">
        <v>75.687898121720977</v>
      </c>
      <c r="X7" s="2">
        <v>71.579867553261224</v>
      </c>
      <c r="Y7" s="2">
        <v>68.683202090851438</v>
      </c>
      <c r="Z7" s="2">
        <v>66.940084503407633</v>
      </c>
      <c r="AA7" s="2">
        <v>66.283244166503053</v>
      </c>
      <c r="AB7" s="2">
        <v>66.637132112903004</v>
      </c>
      <c r="AC7" s="2">
        <v>67.919013891339318</v>
      </c>
      <c r="AD7" s="2">
        <v>70.039972168091325</v>
      </c>
      <c r="AE7" s="2">
        <v>72.905819217013843</v>
      </c>
      <c r="AF7" s="2">
        <v>76.417925689672515</v>
      </c>
      <c r="AG7" s="2">
        <v>80.473976208137358</v>
      </c>
      <c r="AH7" s="2">
        <v>84.968664482862437</v>
      </c>
      <c r="AI7" s="2">
        <v>89.794341128753103</v>
      </c>
      <c r="AJ7" s="2">
        <v>94.84162657896627</v>
      </c>
      <c r="AK7" s="2">
        <v>100</v>
      </c>
      <c r="AL7" s="4">
        <v>27</v>
      </c>
    </row>
    <row r="8" spans="1:38" x14ac:dyDescent="0.3">
      <c r="A8" s="14" t="s">
        <v>6</v>
      </c>
      <c r="B8" s="9">
        <v>460</v>
      </c>
      <c r="F8" s="6">
        <f t="shared" si="0"/>
        <v>8.3333333333333301E-2</v>
      </c>
      <c r="G8" s="2">
        <v>300</v>
      </c>
      <c r="H8" s="2">
        <v>280.20114262798569</v>
      </c>
      <c r="I8" s="2">
        <v>260.57053452366904</v>
      </c>
      <c r="J8" s="2">
        <v>241.27335396752633</v>
      </c>
      <c r="K8" s="2">
        <v>222.46874067679306</v>
      </c>
      <c r="L8" s="2">
        <v>204.30702925674689</v>
      </c>
      <c r="M8" s="2">
        <v>186.92727013670736</v>
      </c>
      <c r="N8" s="2">
        <v>170.45510875086376</v>
      </c>
      <c r="O8" s="2">
        <v>155.00107463428762</v>
      </c>
      <c r="P8" s="2">
        <v>140.65931099015714</v>
      </c>
      <c r="Q8" s="2">
        <v>127.5067536180474</v>
      </c>
      <c r="R8" s="2">
        <v>115.60274732960714</v>
      </c>
      <c r="S8" s="2">
        <v>104.98906943559072</v>
      </c>
      <c r="T8" s="2">
        <v>95.69031464807658</v>
      </c>
      <c r="U8" s="2">
        <v>87.714584570723474</v>
      </c>
      <c r="V8" s="2">
        <v>81.054418255410823</v>
      </c>
      <c r="W8" s="2">
        <v>75.687898121720977</v>
      </c>
      <c r="X8" s="2">
        <v>71.579867553261224</v>
      </c>
      <c r="Y8" s="2">
        <v>68.683202090851438</v>
      </c>
      <c r="Z8" s="2">
        <v>66.940084503407633</v>
      </c>
      <c r="AA8" s="2">
        <v>66.283244166503053</v>
      </c>
      <c r="AB8" s="2">
        <v>66.637132112903004</v>
      </c>
      <c r="AC8" s="2">
        <v>67.919013891339318</v>
      </c>
      <c r="AD8" s="2">
        <v>70.039972168091325</v>
      </c>
      <c r="AE8" s="2">
        <v>72.905819217013843</v>
      </c>
      <c r="AF8" s="2">
        <v>76.417925689672515</v>
      </c>
      <c r="AG8" s="2">
        <v>80.473976208137358</v>
      </c>
      <c r="AH8" s="2">
        <v>84.968664482862437</v>
      </c>
      <c r="AI8" s="2">
        <v>89.794341128753103</v>
      </c>
      <c r="AJ8" s="2">
        <v>94.84162657896627</v>
      </c>
      <c r="AK8" s="2">
        <v>100</v>
      </c>
      <c r="AL8" s="4">
        <v>26</v>
      </c>
    </row>
    <row r="9" spans="1:38" x14ac:dyDescent="0.3">
      <c r="A9" s="14" t="s">
        <v>7</v>
      </c>
      <c r="B9" s="9">
        <v>7800</v>
      </c>
      <c r="F9" s="6">
        <f t="shared" si="0"/>
        <v>7.9999999999999974E-2</v>
      </c>
      <c r="G9" s="2">
        <v>300</v>
      </c>
      <c r="H9" s="2">
        <v>280.20114262798569</v>
      </c>
      <c r="I9" s="2">
        <v>260.57053452366904</v>
      </c>
      <c r="J9" s="2">
        <v>241.27335396752633</v>
      </c>
      <c r="K9" s="2">
        <v>222.46874067679306</v>
      </c>
      <c r="L9" s="2">
        <v>204.30702925674689</v>
      </c>
      <c r="M9" s="2">
        <v>186.92727013670736</v>
      </c>
      <c r="N9" s="2">
        <v>170.45510875086376</v>
      </c>
      <c r="O9" s="2">
        <v>155.00107463428762</v>
      </c>
      <c r="P9" s="2">
        <v>140.65931099015714</v>
      </c>
      <c r="Q9" s="2">
        <v>127.5067536180474</v>
      </c>
      <c r="R9" s="2">
        <v>115.60274732960714</v>
      </c>
      <c r="S9" s="2">
        <v>104.98906943559072</v>
      </c>
      <c r="T9" s="2">
        <v>95.69031464807658</v>
      </c>
      <c r="U9" s="2">
        <v>87.714584570723474</v>
      </c>
      <c r="V9" s="2">
        <v>81.054418255410823</v>
      </c>
      <c r="W9" s="2">
        <v>75.687898121720977</v>
      </c>
      <c r="X9" s="2">
        <v>71.579867553261224</v>
      </c>
      <c r="Y9" s="2">
        <v>68.683202090851438</v>
      </c>
      <c r="Z9" s="2">
        <v>66.940084503407633</v>
      </c>
      <c r="AA9" s="2">
        <v>66.283244166503053</v>
      </c>
      <c r="AB9" s="2">
        <v>66.637132112903004</v>
      </c>
      <c r="AC9" s="2">
        <v>67.919013891339318</v>
      </c>
      <c r="AD9" s="2">
        <v>70.039972168091325</v>
      </c>
      <c r="AE9" s="2">
        <v>72.905819217013843</v>
      </c>
      <c r="AF9" s="2">
        <v>76.417925689672515</v>
      </c>
      <c r="AG9" s="2">
        <v>80.473976208137358</v>
      </c>
      <c r="AH9" s="2">
        <v>84.968664482862437</v>
      </c>
      <c r="AI9" s="2">
        <v>89.794341128753103</v>
      </c>
      <c r="AJ9" s="2">
        <v>94.84162657896627</v>
      </c>
      <c r="AK9" s="2">
        <v>100</v>
      </c>
      <c r="AL9" s="4">
        <v>25</v>
      </c>
    </row>
    <row r="10" spans="1:38" x14ac:dyDescent="0.3">
      <c r="A10" s="14" t="s">
        <v>8</v>
      </c>
      <c r="B10" s="9">
        <v>46</v>
      </c>
      <c r="F10" s="6">
        <f t="shared" si="0"/>
        <v>7.6666666666666647E-2</v>
      </c>
      <c r="G10" s="2">
        <v>300</v>
      </c>
      <c r="H10" s="2">
        <v>280.20114262798569</v>
      </c>
      <c r="I10" s="2">
        <v>260.57053452366904</v>
      </c>
      <c r="J10" s="2">
        <v>241.27335396752633</v>
      </c>
      <c r="K10" s="2">
        <v>222.46874067679306</v>
      </c>
      <c r="L10" s="2">
        <v>204.30702925674689</v>
      </c>
      <c r="M10" s="2">
        <v>186.92727013670736</v>
      </c>
      <c r="N10" s="2">
        <v>170.45510875086376</v>
      </c>
      <c r="O10" s="2">
        <v>155.00107463428762</v>
      </c>
      <c r="P10" s="2">
        <v>140.65931099015714</v>
      </c>
      <c r="Q10" s="2">
        <v>127.5067536180474</v>
      </c>
      <c r="R10" s="2">
        <v>115.60274732960714</v>
      </c>
      <c r="S10" s="2">
        <v>104.98906943559072</v>
      </c>
      <c r="T10" s="2">
        <v>95.69031464807658</v>
      </c>
      <c r="U10" s="2">
        <v>87.714584570723474</v>
      </c>
      <c r="V10" s="2">
        <v>81.054418255410823</v>
      </c>
      <c r="W10" s="2">
        <v>75.687898121720977</v>
      </c>
      <c r="X10" s="2">
        <v>71.579867553261224</v>
      </c>
      <c r="Y10" s="2">
        <v>68.683202090851438</v>
      </c>
      <c r="Z10" s="2">
        <v>66.940084503407633</v>
      </c>
      <c r="AA10" s="2">
        <v>66.283244166503053</v>
      </c>
      <c r="AB10" s="2">
        <v>66.637132112903004</v>
      </c>
      <c r="AC10" s="2">
        <v>67.919013891339318</v>
      </c>
      <c r="AD10" s="2">
        <v>70.039972168091325</v>
      </c>
      <c r="AE10" s="2">
        <v>72.905819217013843</v>
      </c>
      <c r="AF10" s="2">
        <v>76.417925689672515</v>
      </c>
      <c r="AG10" s="2">
        <v>80.473976208137358</v>
      </c>
      <c r="AH10" s="2">
        <v>84.968664482862437</v>
      </c>
      <c r="AI10" s="2">
        <v>89.794341128753103</v>
      </c>
      <c r="AJ10" s="2">
        <v>94.84162657896627</v>
      </c>
      <c r="AK10" s="2">
        <v>100</v>
      </c>
      <c r="AL10" s="4">
        <v>24</v>
      </c>
    </row>
    <row r="11" spans="1:38" x14ac:dyDescent="0.3">
      <c r="F11" s="6">
        <f t="shared" si="0"/>
        <v>7.333333333333332E-2</v>
      </c>
      <c r="G11" s="2">
        <v>300</v>
      </c>
      <c r="H11" s="2">
        <v>280.20114262798569</v>
      </c>
      <c r="I11" s="2">
        <v>260.57053452366904</v>
      </c>
      <c r="J11" s="2">
        <v>241.27335396752633</v>
      </c>
      <c r="K11" s="2">
        <v>222.46874067679306</v>
      </c>
      <c r="L11" s="2">
        <v>204.30702925674689</v>
      </c>
      <c r="M11" s="2">
        <v>186.92727013670736</v>
      </c>
      <c r="N11" s="2">
        <v>170.45510875086376</v>
      </c>
      <c r="O11" s="2">
        <v>155.00107463428762</v>
      </c>
      <c r="P11" s="2">
        <v>140.65931099015714</v>
      </c>
      <c r="Q11" s="2">
        <v>127.5067536180474</v>
      </c>
      <c r="R11" s="2">
        <v>115.60274732960714</v>
      </c>
      <c r="S11" s="2">
        <v>104.98906943559072</v>
      </c>
      <c r="T11" s="2">
        <v>95.69031464807658</v>
      </c>
      <c r="U11" s="2">
        <v>87.714584570723474</v>
      </c>
      <c r="V11" s="2">
        <v>81.054418255410823</v>
      </c>
      <c r="W11" s="2">
        <v>75.687898121720977</v>
      </c>
      <c r="X11" s="2">
        <v>71.579867553261224</v>
      </c>
      <c r="Y11" s="2">
        <v>68.683202090851438</v>
      </c>
      <c r="Z11" s="2">
        <v>66.940084503407633</v>
      </c>
      <c r="AA11" s="2">
        <v>66.283244166503053</v>
      </c>
      <c r="AB11" s="2">
        <v>66.637132112903004</v>
      </c>
      <c r="AC11" s="2">
        <v>67.919013891339318</v>
      </c>
      <c r="AD11" s="2">
        <v>70.039972168091325</v>
      </c>
      <c r="AE11" s="2">
        <v>72.905819217013843</v>
      </c>
      <c r="AF11" s="2">
        <v>76.417925689672515</v>
      </c>
      <c r="AG11" s="2">
        <v>80.473976208137358</v>
      </c>
      <c r="AH11" s="2">
        <v>84.968664482862437</v>
      </c>
      <c r="AI11" s="2">
        <v>89.794341128753103</v>
      </c>
      <c r="AJ11" s="2">
        <v>94.84162657896627</v>
      </c>
      <c r="AK11" s="2">
        <v>100</v>
      </c>
      <c r="AL11" s="4">
        <v>23</v>
      </c>
    </row>
    <row r="12" spans="1:38" x14ac:dyDescent="0.3">
      <c r="A12" s="16" t="s">
        <v>12</v>
      </c>
      <c r="B12" s="15" t="s">
        <v>9</v>
      </c>
      <c r="C12" s="9">
        <f>B10/(B3^2)</f>
        <v>4139999.9999999991</v>
      </c>
      <c r="F12" s="6">
        <f t="shared" si="0"/>
        <v>6.9999999999999993E-2</v>
      </c>
      <c r="G12" s="2">
        <v>300</v>
      </c>
      <c r="H12" s="2">
        <v>280.20114262798569</v>
      </c>
      <c r="I12" s="2">
        <v>260.57053452366904</v>
      </c>
      <c r="J12" s="2">
        <v>241.27335396752633</v>
      </c>
      <c r="K12" s="2">
        <v>222.46874067679306</v>
      </c>
      <c r="L12" s="2">
        <v>204.30702925674689</v>
      </c>
      <c r="M12" s="2">
        <v>186.92727013670736</v>
      </c>
      <c r="N12" s="2">
        <v>170.45510875086376</v>
      </c>
      <c r="O12" s="2">
        <v>155.00107463428762</v>
      </c>
      <c r="P12" s="2">
        <v>140.65931099015714</v>
      </c>
      <c r="Q12" s="2">
        <v>127.5067536180474</v>
      </c>
      <c r="R12" s="2">
        <v>115.60274732960714</v>
      </c>
      <c r="S12" s="2">
        <v>104.98906943559072</v>
      </c>
      <c r="T12" s="2">
        <v>95.69031464807658</v>
      </c>
      <c r="U12" s="2">
        <v>87.714584570723474</v>
      </c>
      <c r="V12" s="2">
        <v>81.054418255410823</v>
      </c>
      <c r="W12" s="2">
        <v>75.687898121720977</v>
      </c>
      <c r="X12" s="2">
        <v>71.579867553261224</v>
      </c>
      <c r="Y12" s="2">
        <v>68.683202090851438</v>
      </c>
      <c r="Z12" s="2">
        <v>66.940084503407633</v>
      </c>
      <c r="AA12" s="2">
        <v>66.283244166503053</v>
      </c>
      <c r="AB12" s="2">
        <v>66.637132112903004</v>
      </c>
      <c r="AC12" s="2">
        <v>67.919013891339318</v>
      </c>
      <c r="AD12" s="2">
        <v>70.039972168091325</v>
      </c>
      <c r="AE12" s="2">
        <v>72.905819217013843</v>
      </c>
      <c r="AF12" s="2">
        <v>76.417925689672515</v>
      </c>
      <c r="AG12" s="2">
        <v>80.473976208137358</v>
      </c>
      <c r="AH12" s="2">
        <v>84.968664482862437</v>
      </c>
      <c r="AI12" s="2">
        <v>89.794341128753103</v>
      </c>
      <c r="AJ12" s="2">
        <v>94.84162657896627</v>
      </c>
      <c r="AK12" s="2">
        <v>100</v>
      </c>
      <c r="AL12" s="4">
        <v>22</v>
      </c>
    </row>
    <row r="13" spans="1:38" x14ac:dyDescent="0.3">
      <c r="A13" s="16"/>
      <c r="B13" s="15" t="s">
        <v>10</v>
      </c>
      <c r="C13" s="9">
        <f>(2*B10)/(B3^2)+(B8*B9)/B6</f>
        <v>16559999.999999996</v>
      </c>
      <c r="F13" s="6">
        <f t="shared" si="0"/>
        <v>6.6666666666666666E-2</v>
      </c>
      <c r="G13" s="2">
        <v>300</v>
      </c>
      <c r="H13" s="2">
        <v>280.20114262798569</v>
      </c>
      <c r="I13" s="2">
        <v>260.57053452366904</v>
      </c>
      <c r="J13" s="2">
        <v>241.27335396752633</v>
      </c>
      <c r="K13" s="2">
        <v>222.46874067679306</v>
      </c>
      <c r="L13" s="2">
        <v>204.30702925674689</v>
      </c>
      <c r="M13" s="2">
        <v>186.92727013670736</v>
      </c>
      <c r="N13" s="2">
        <v>170.45510875086376</v>
      </c>
      <c r="O13" s="2">
        <v>155.00107463428762</v>
      </c>
      <c r="P13" s="2">
        <v>140.65931099015714</v>
      </c>
      <c r="Q13" s="2">
        <v>127.5067536180474</v>
      </c>
      <c r="R13" s="2">
        <v>115.60274732960714</v>
      </c>
      <c r="S13" s="2">
        <v>104.98906943559072</v>
      </c>
      <c r="T13" s="2">
        <v>95.69031464807658</v>
      </c>
      <c r="U13" s="2">
        <v>87.714584570723474</v>
      </c>
      <c r="V13" s="2">
        <v>81.054418255410823</v>
      </c>
      <c r="W13" s="2">
        <v>75.687898121720977</v>
      </c>
      <c r="X13" s="2">
        <v>71.579867553261224</v>
      </c>
      <c r="Y13" s="2">
        <v>68.683202090851438</v>
      </c>
      <c r="Z13" s="2">
        <v>66.940084503407633</v>
      </c>
      <c r="AA13" s="2">
        <v>66.283244166503053</v>
      </c>
      <c r="AB13" s="2">
        <v>66.637132112903004</v>
      </c>
      <c r="AC13" s="2">
        <v>67.919013891339318</v>
      </c>
      <c r="AD13" s="2">
        <v>70.039972168091325</v>
      </c>
      <c r="AE13" s="2">
        <v>72.905819217013843</v>
      </c>
      <c r="AF13" s="2">
        <v>76.417925689672515</v>
      </c>
      <c r="AG13" s="2">
        <v>80.473976208137358</v>
      </c>
      <c r="AH13" s="2">
        <v>84.968664482862437</v>
      </c>
      <c r="AI13" s="2">
        <v>89.794341128753103</v>
      </c>
      <c r="AJ13" s="2">
        <v>94.84162657896627</v>
      </c>
      <c r="AK13" s="2">
        <v>100</v>
      </c>
      <c r="AL13" s="4">
        <v>21</v>
      </c>
    </row>
    <row r="14" spans="1:38" x14ac:dyDescent="0.3">
      <c r="A14" s="16"/>
      <c r="B14" s="15" t="s">
        <v>11</v>
      </c>
      <c r="C14" s="9">
        <f>C12</f>
        <v>4139999.9999999991</v>
      </c>
      <c r="F14" s="6">
        <f t="shared" si="0"/>
        <v>6.3333333333333339E-2</v>
      </c>
      <c r="G14" s="2">
        <v>300</v>
      </c>
      <c r="H14" s="2">
        <v>280.20114262798569</v>
      </c>
      <c r="I14" s="2">
        <v>260.57053452366904</v>
      </c>
      <c r="J14" s="2">
        <v>241.27335396752633</v>
      </c>
      <c r="K14" s="2">
        <v>222.46874067679306</v>
      </c>
      <c r="L14" s="2">
        <v>204.30702925674689</v>
      </c>
      <c r="M14" s="2">
        <v>186.92727013670736</v>
      </c>
      <c r="N14" s="2">
        <v>170.45510875086376</v>
      </c>
      <c r="O14" s="2">
        <v>155.00107463428762</v>
      </c>
      <c r="P14" s="2">
        <v>140.65931099015714</v>
      </c>
      <c r="Q14" s="2">
        <v>127.5067536180474</v>
      </c>
      <c r="R14" s="2">
        <v>115.60274732960714</v>
      </c>
      <c r="S14" s="2">
        <v>104.98906943559072</v>
      </c>
      <c r="T14" s="2">
        <v>95.69031464807658</v>
      </c>
      <c r="U14" s="2">
        <v>87.714584570723474</v>
      </c>
      <c r="V14" s="2">
        <v>81.054418255410823</v>
      </c>
      <c r="W14" s="2">
        <v>75.687898121720977</v>
      </c>
      <c r="X14" s="2">
        <v>71.579867553261224</v>
      </c>
      <c r="Y14" s="2">
        <v>68.683202090851438</v>
      </c>
      <c r="Z14" s="2">
        <v>66.940084503407633</v>
      </c>
      <c r="AA14" s="2">
        <v>66.283244166503053</v>
      </c>
      <c r="AB14" s="2">
        <v>66.637132112903004</v>
      </c>
      <c r="AC14" s="2">
        <v>67.919013891339318</v>
      </c>
      <c r="AD14" s="2">
        <v>70.039972168091325</v>
      </c>
      <c r="AE14" s="2">
        <v>72.905819217013843</v>
      </c>
      <c r="AF14" s="2">
        <v>76.417925689672501</v>
      </c>
      <c r="AG14" s="2">
        <v>80.473976208137358</v>
      </c>
      <c r="AH14" s="2">
        <v>84.968664482862437</v>
      </c>
      <c r="AI14" s="2">
        <v>89.794341128753103</v>
      </c>
      <c r="AJ14" s="2">
        <v>94.84162657896627</v>
      </c>
      <c r="AK14" s="2">
        <v>100</v>
      </c>
      <c r="AL14" s="4">
        <v>20</v>
      </c>
    </row>
    <row r="15" spans="1:38" x14ac:dyDescent="0.3">
      <c r="B15" s="1"/>
      <c r="F15" s="6">
        <f t="shared" si="0"/>
        <v>6.0000000000000005E-2</v>
      </c>
      <c r="G15" s="2">
        <v>300</v>
      </c>
      <c r="H15" s="2">
        <v>280.20114262798569</v>
      </c>
      <c r="I15" s="2">
        <v>260.57053452366904</v>
      </c>
      <c r="J15" s="2">
        <v>241.27335396752633</v>
      </c>
      <c r="K15" s="2">
        <v>222.46874067679306</v>
      </c>
      <c r="L15" s="2">
        <v>204.30702925674689</v>
      </c>
      <c r="M15" s="2">
        <v>186.92727013670736</v>
      </c>
      <c r="N15" s="2">
        <v>170.45510875086376</v>
      </c>
      <c r="O15" s="2">
        <v>155.00107463428762</v>
      </c>
      <c r="P15" s="2">
        <v>140.65931099015714</v>
      </c>
      <c r="Q15" s="2">
        <v>127.5067536180474</v>
      </c>
      <c r="R15" s="2">
        <v>115.60274732960714</v>
      </c>
      <c r="S15" s="2">
        <v>104.98906943559072</v>
      </c>
      <c r="T15" s="2">
        <v>95.69031464807658</v>
      </c>
      <c r="U15" s="2">
        <v>87.714584570723474</v>
      </c>
      <c r="V15" s="2">
        <v>81.054418255410809</v>
      </c>
      <c r="W15" s="2">
        <v>75.687898121720977</v>
      </c>
      <c r="X15" s="2">
        <v>71.579867553261209</v>
      </c>
      <c r="Y15" s="2">
        <v>68.683202090851438</v>
      </c>
      <c r="Z15" s="2">
        <v>66.940084503407633</v>
      </c>
      <c r="AA15" s="2">
        <v>66.283244166503053</v>
      </c>
      <c r="AB15" s="2">
        <v>66.637132112902989</v>
      </c>
      <c r="AC15" s="2">
        <v>67.919013891339318</v>
      </c>
      <c r="AD15" s="2">
        <v>70.03997216809131</v>
      </c>
      <c r="AE15" s="2">
        <v>72.905819217013828</v>
      </c>
      <c r="AF15" s="2">
        <v>76.417925689672487</v>
      </c>
      <c r="AG15" s="2">
        <v>80.473976208137358</v>
      </c>
      <c r="AH15" s="2">
        <v>84.968664482862437</v>
      </c>
      <c r="AI15" s="2">
        <v>89.794341128753103</v>
      </c>
      <c r="AJ15" s="2">
        <v>94.84162657896627</v>
      </c>
      <c r="AK15" s="2">
        <v>100</v>
      </c>
      <c r="AL15" s="4">
        <v>19</v>
      </c>
    </row>
    <row r="16" spans="1:38" x14ac:dyDescent="0.3">
      <c r="A16" s="16" t="s">
        <v>13</v>
      </c>
      <c r="B16" s="15" t="s">
        <v>9</v>
      </c>
      <c r="C16" s="9">
        <f>B10/(B4^2)</f>
        <v>4139999.9999999991</v>
      </c>
      <c r="F16" s="6">
        <f t="shared" si="0"/>
        <v>5.6666666666666671E-2</v>
      </c>
      <c r="G16" s="2">
        <v>300</v>
      </c>
      <c r="H16" s="2">
        <v>280.20114262798569</v>
      </c>
      <c r="I16" s="2">
        <v>260.57053452366904</v>
      </c>
      <c r="J16" s="2">
        <v>241.27335396752633</v>
      </c>
      <c r="K16" s="2">
        <v>222.46874067679306</v>
      </c>
      <c r="L16" s="2">
        <v>204.30702925674689</v>
      </c>
      <c r="M16" s="2">
        <v>186.92727013670736</v>
      </c>
      <c r="N16" s="2">
        <v>170.45510875086376</v>
      </c>
      <c r="O16" s="2">
        <v>155.00107463428762</v>
      </c>
      <c r="P16" s="2">
        <v>140.65931099015714</v>
      </c>
      <c r="Q16" s="2">
        <v>127.50675361804738</v>
      </c>
      <c r="R16" s="2">
        <v>115.60274732960714</v>
      </c>
      <c r="S16" s="2">
        <v>104.98906943559072</v>
      </c>
      <c r="T16" s="2">
        <v>95.69031464807658</v>
      </c>
      <c r="U16" s="2">
        <v>87.714584570723474</v>
      </c>
      <c r="V16" s="2">
        <v>81.054418255410781</v>
      </c>
      <c r="W16" s="2">
        <v>75.687898121720949</v>
      </c>
      <c r="X16" s="2">
        <v>71.579867553261181</v>
      </c>
      <c r="Y16" s="2">
        <v>68.683202090851424</v>
      </c>
      <c r="Z16" s="2">
        <v>66.940084503407633</v>
      </c>
      <c r="AA16" s="2">
        <v>66.283244166503053</v>
      </c>
      <c r="AB16" s="2">
        <v>66.637132112902975</v>
      </c>
      <c r="AC16" s="2">
        <v>67.919013891339304</v>
      </c>
      <c r="AD16" s="2">
        <v>70.03997216809131</v>
      </c>
      <c r="AE16" s="2">
        <v>72.905819217013828</v>
      </c>
      <c r="AF16" s="2">
        <v>76.417925689672487</v>
      </c>
      <c r="AG16" s="2">
        <v>80.473976208137358</v>
      </c>
      <c r="AH16" s="2">
        <v>84.968664482862437</v>
      </c>
      <c r="AI16" s="2">
        <v>89.794341128753103</v>
      </c>
      <c r="AJ16" s="2">
        <v>94.84162657896627</v>
      </c>
      <c r="AK16" s="2">
        <v>100</v>
      </c>
      <c r="AL16" s="4">
        <v>18</v>
      </c>
    </row>
    <row r="17" spans="1:38" x14ac:dyDescent="0.3">
      <c r="A17" s="16"/>
      <c r="B17" s="15" t="s">
        <v>10</v>
      </c>
      <c r="C17" s="9">
        <f>(2*B10)/(B4^2)+(B8*B9)/B6</f>
        <v>16559999.999999996</v>
      </c>
      <c r="F17" s="6">
        <f t="shared" si="0"/>
        <v>5.3333333333333337E-2</v>
      </c>
      <c r="G17" s="2">
        <v>300</v>
      </c>
      <c r="H17" s="2">
        <v>280.20114262798569</v>
      </c>
      <c r="I17" s="2">
        <v>260.57053452366904</v>
      </c>
      <c r="J17" s="2">
        <v>241.27335396752633</v>
      </c>
      <c r="K17" s="2">
        <v>222.46874067679306</v>
      </c>
      <c r="L17" s="2">
        <v>204.30702925674689</v>
      </c>
      <c r="M17" s="2">
        <v>186.92727013670736</v>
      </c>
      <c r="N17" s="2">
        <v>170.45510875086376</v>
      </c>
      <c r="O17" s="2">
        <v>155.00107463428762</v>
      </c>
      <c r="P17" s="2">
        <v>140.65931099015711</v>
      </c>
      <c r="Q17" s="2">
        <v>127.50675361804736</v>
      </c>
      <c r="R17" s="2">
        <v>115.60274732960713</v>
      </c>
      <c r="S17" s="2">
        <v>104.98906943559072</v>
      </c>
      <c r="T17" s="2">
        <v>95.69031464807658</v>
      </c>
      <c r="U17" s="2">
        <v>87.71458457072346</v>
      </c>
      <c r="V17" s="2">
        <v>81.054418255410752</v>
      </c>
      <c r="W17" s="2">
        <v>75.687898121720934</v>
      </c>
      <c r="X17" s="2">
        <v>71.579867553261167</v>
      </c>
      <c r="Y17" s="2">
        <v>68.68320209085141</v>
      </c>
      <c r="Z17" s="2">
        <v>66.940084503407618</v>
      </c>
      <c r="AA17" s="2">
        <v>66.283244166503039</v>
      </c>
      <c r="AB17" s="2">
        <v>66.637132112902975</v>
      </c>
      <c r="AC17" s="2">
        <v>67.919013891339304</v>
      </c>
      <c r="AD17" s="2">
        <v>70.039972168091282</v>
      </c>
      <c r="AE17" s="2">
        <v>72.905819217013814</v>
      </c>
      <c r="AF17" s="2">
        <v>76.417925689672472</v>
      </c>
      <c r="AG17" s="2">
        <v>80.473976208137344</v>
      </c>
      <c r="AH17" s="2">
        <v>84.968664482862422</v>
      </c>
      <c r="AI17" s="2">
        <v>89.794341128753089</v>
      </c>
      <c r="AJ17" s="2">
        <v>94.84162657896627</v>
      </c>
      <c r="AK17" s="2">
        <v>100</v>
      </c>
      <c r="AL17" s="4">
        <v>17</v>
      </c>
    </row>
    <row r="18" spans="1:38" x14ac:dyDescent="0.3">
      <c r="A18" s="16"/>
      <c r="B18" s="15" t="s">
        <v>11</v>
      </c>
      <c r="C18" s="9">
        <f>C16</f>
        <v>4139999.9999999991</v>
      </c>
      <c r="F18" s="6">
        <f t="shared" si="0"/>
        <v>0.05</v>
      </c>
      <c r="G18" s="2">
        <v>300</v>
      </c>
      <c r="H18" s="2">
        <v>280.20114262798563</v>
      </c>
      <c r="I18" s="2">
        <v>260.57053452366898</v>
      </c>
      <c r="J18" s="2">
        <v>241.2733539675263</v>
      </c>
      <c r="K18" s="2">
        <v>222.46874067679306</v>
      </c>
      <c r="L18" s="2">
        <v>204.30702925674689</v>
      </c>
      <c r="M18" s="2">
        <v>186.92727013670736</v>
      </c>
      <c r="N18" s="2">
        <v>170.45510875086376</v>
      </c>
      <c r="O18" s="2">
        <v>155.00107463428762</v>
      </c>
      <c r="P18" s="2">
        <v>140.65931099015711</v>
      </c>
      <c r="Q18" s="2">
        <v>127.50675361804731</v>
      </c>
      <c r="R18" s="2">
        <v>115.60274732960708</v>
      </c>
      <c r="S18" s="2">
        <v>104.98906943559069</v>
      </c>
      <c r="T18" s="2">
        <v>95.690314648076551</v>
      </c>
      <c r="U18" s="2">
        <v>87.714584570723432</v>
      </c>
      <c r="V18" s="2">
        <v>81.054418255410752</v>
      </c>
      <c r="W18" s="2">
        <v>75.68789812172092</v>
      </c>
      <c r="X18" s="2">
        <v>71.579867553261153</v>
      </c>
      <c r="Y18" s="2">
        <v>68.683202090851381</v>
      </c>
      <c r="Z18" s="2">
        <v>66.940084503407604</v>
      </c>
      <c r="AA18" s="2">
        <v>66.28324416650301</v>
      </c>
      <c r="AB18" s="2">
        <v>66.637132112902961</v>
      </c>
      <c r="AC18" s="2">
        <v>67.91901389133929</v>
      </c>
      <c r="AD18" s="2">
        <v>70.039972168091253</v>
      </c>
      <c r="AE18" s="2">
        <v>72.905819217013786</v>
      </c>
      <c r="AF18" s="2">
        <v>76.417925689672444</v>
      </c>
      <c r="AG18" s="2">
        <v>80.473976208137316</v>
      </c>
      <c r="AH18" s="2">
        <v>84.968664482862408</v>
      </c>
      <c r="AI18" s="2">
        <v>89.794341128753075</v>
      </c>
      <c r="AJ18" s="2">
        <v>94.84162657896627</v>
      </c>
      <c r="AK18" s="2">
        <v>100</v>
      </c>
      <c r="AL18" s="4">
        <v>16</v>
      </c>
    </row>
    <row r="19" spans="1:38" x14ac:dyDescent="0.3">
      <c r="F19" s="6">
        <f t="shared" si="0"/>
        <v>4.6666666666666669E-2</v>
      </c>
      <c r="G19" s="2">
        <v>300</v>
      </c>
      <c r="H19" s="2">
        <v>280.20114262798563</v>
      </c>
      <c r="I19" s="2">
        <v>260.57053452366893</v>
      </c>
      <c r="J19" s="2">
        <v>241.2733539675263</v>
      </c>
      <c r="K19" s="2">
        <v>222.46874067679306</v>
      </c>
      <c r="L19" s="2">
        <v>204.30702925674689</v>
      </c>
      <c r="M19" s="2">
        <v>186.92727013670736</v>
      </c>
      <c r="N19" s="2">
        <v>170.45510875086373</v>
      </c>
      <c r="O19" s="2">
        <v>155.00107463428762</v>
      </c>
      <c r="P19" s="2">
        <v>140.65931099015711</v>
      </c>
      <c r="Q19" s="2">
        <v>127.50675361804731</v>
      </c>
      <c r="R19" s="2">
        <v>115.60274732960707</v>
      </c>
      <c r="S19" s="2">
        <v>104.98906943559068</v>
      </c>
      <c r="T19" s="2">
        <v>95.690314648076537</v>
      </c>
      <c r="U19" s="2">
        <v>87.714584570723417</v>
      </c>
      <c r="V19" s="2">
        <v>81.054418255410738</v>
      </c>
      <c r="W19" s="2">
        <v>75.687898121720906</v>
      </c>
      <c r="X19" s="2">
        <v>71.579867553261153</v>
      </c>
      <c r="Y19" s="2">
        <v>68.683202090851367</v>
      </c>
      <c r="Z19" s="2">
        <v>66.940084503407576</v>
      </c>
      <c r="AA19" s="2">
        <v>66.28324416650301</v>
      </c>
      <c r="AB19" s="2">
        <v>66.637132112902947</v>
      </c>
      <c r="AC19" s="2">
        <v>67.919013891339262</v>
      </c>
      <c r="AD19" s="2">
        <v>70.039972168091253</v>
      </c>
      <c r="AE19" s="2">
        <v>72.905819217013757</v>
      </c>
      <c r="AF19" s="2">
        <v>76.417925689672416</v>
      </c>
      <c r="AG19" s="2">
        <v>80.473976208137316</v>
      </c>
      <c r="AH19" s="2">
        <v>84.968664482862394</v>
      </c>
      <c r="AI19" s="2">
        <v>89.794341128753075</v>
      </c>
      <c r="AJ19" s="2">
        <v>94.84162657896627</v>
      </c>
      <c r="AK19" s="2">
        <v>100</v>
      </c>
      <c r="AL19" s="4">
        <v>15</v>
      </c>
    </row>
    <row r="20" spans="1:38" x14ac:dyDescent="0.3">
      <c r="A20" s="16" t="s">
        <v>16</v>
      </c>
      <c r="B20" s="15" t="s">
        <v>14</v>
      </c>
      <c r="C20" s="9">
        <v>300</v>
      </c>
      <c r="F20" s="6">
        <f t="shared" si="0"/>
        <v>4.3333333333333335E-2</v>
      </c>
      <c r="G20" s="2">
        <v>300</v>
      </c>
      <c r="H20" s="2">
        <v>280.20114262798563</v>
      </c>
      <c r="I20" s="2">
        <v>260.57053452366893</v>
      </c>
      <c r="J20" s="2">
        <v>241.2733539675263</v>
      </c>
      <c r="K20" s="2">
        <v>222.46874067679309</v>
      </c>
      <c r="L20" s="2">
        <v>204.30702925674689</v>
      </c>
      <c r="M20" s="2">
        <v>186.92727013670734</v>
      </c>
      <c r="N20" s="2">
        <v>170.45510875086373</v>
      </c>
      <c r="O20" s="2">
        <v>155.00107463428759</v>
      </c>
      <c r="P20" s="2">
        <v>140.65931099015711</v>
      </c>
      <c r="Q20" s="2">
        <v>127.5067536180473</v>
      </c>
      <c r="R20" s="2">
        <v>115.60274732960707</v>
      </c>
      <c r="S20" s="2">
        <v>104.98906943559066</v>
      </c>
      <c r="T20" s="2">
        <v>95.690314648076537</v>
      </c>
      <c r="U20" s="2">
        <v>87.714584570723417</v>
      </c>
      <c r="V20" s="2">
        <v>81.054418255410738</v>
      </c>
      <c r="W20" s="2">
        <v>75.687898121720877</v>
      </c>
      <c r="X20" s="2">
        <v>71.579867553261124</v>
      </c>
      <c r="Y20" s="2">
        <v>68.683202090851367</v>
      </c>
      <c r="Z20" s="2">
        <v>66.940084503407562</v>
      </c>
      <c r="AA20" s="2">
        <v>66.283244166502982</v>
      </c>
      <c r="AB20" s="2">
        <v>66.637132112902918</v>
      </c>
      <c r="AC20" s="2">
        <v>67.919013891339247</v>
      </c>
      <c r="AD20" s="2">
        <v>70.039972168091225</v>
      </c>
      <c r="AE20" s="2">
        <v>72.905819217013743</v>
      </c>
      <c r="AF20" s="2">
        <v>76.417925689672416</v>
      </c>
      <c r="AG20" s="2">
        <v>80.473976208137302</v>
      </c>
      <c r="AH20" s="2">
        <v>84.96866448286238</v>
      </c>
      <c r="AI20" s="2">
        <v>89.794341128753075</v>
      </c>
      <c r="AJ20" s="2">
        <v>94.84162657896627</v>
      </c>
      <c r="AK20" s="2">
        <v>100</v>
      </c>
      <c r="AL20" s="4">
        <v>14</v>
      </c>
    </row>
    <row r="21" spans="1:38" x14ac:dyDescent="0.3">
      <c r="A21" s="16"/>
      <c r="B21" s="15" t="s">
        <v>15</v>
      </c>
      <c r="C21" s="9">
        <v>100</v>
      </c>
      <c r="F21" s="6">
        <f t="shared" si="0"/>
        <v>0.04</v>
      </c>
      <c r="G21" s="2">
        <v>300</v>
      </c>
      <c r="H21" s="2">
        <v>280.20114262798569</v>
      </c>
      <c r="I21" s="2">
        <v>260.57053452366898</v>
      </c>
      <c r="J21" s="2">
        <v>241.27335396752633</v>
      </c>
      <c r="K21" s="2">
        <v>222.46874067679315</v>
      </c>
      <c r="L21" s="2">
        <v>204.30702925674694</v>
      </c>
      <c r="M21" s="2">
        <v>186.92727013670736</v>
      </c>
      <c r="N21" s="2">
        <v>170.45510875086376</v>
      </c>
      <c r="O21" s="2">
        <v>155.00107463428765</v>
      </c>
      <c r="P21" s="2">
        <v>140.65931099015717</v>
      </c>
      <c r="Q21" s="2">
        <v>127.50675361804733</v>
      </c>
      <c r="R21" s="2">
        <v>115.6027473296071</v>
      </c>
      <c r="S21" s="2">
        <v>104.98906943559069</v>
      </c>
      <c r="T21" s="2">
        <v>95.690314648076537</v>
      </c>
      <c r="U21" s="2">
        <v>87.714584570723432</v>
      </c>
      <c r="V21" s="2">
        <v>81.054418255410738</v>
      </c>
      <c r="W21" s="2">
        <v>75.687898121720892</v>
      </c>
      <c r="X21" s="2">
        <v>71.579867553261124</v>
      </c>
      <c r="Y21" s="2">
        <v>68.683202090851367</v>
      </c>
      <c r="Z21" s="2">
        <v>66.940084503407562</v>
      </c>
      <c r="AA21" s="2">
        <v>66.283244166502982</v>
      </c>
      <c r="AB21" s="2">
        <v>66.637132112902918</v>
      </c>
      <c r="AC21" s="2">
        <v>67.919013891339247</v>
      </c>
      <c r="AD21" s="2">
        <v>70.039972168091239</v>
      </c>
      <c r="AE21" s="2">
        <v>72.905819217013729</v>
      </c>
      <c r="AF21" s="2">
        <v>76.417925689672416</v>
      </c>
      <c r="AG21" s="2">
        <v>80.473976208137316</v>
      </c>
      <c r="AH21" s="2">
        <v>84.968664482862394</v>
      </c>
      <c r="AI21" s="2">
        <v>89.794341128753075</v>
      </c>
      <c r="AJ21" s="2">
        <v>94.84162657896627</v>
      </c>
      <c r="AK21" s="2">
        <v>100</v>
      </c>
      <c r="AL21" s="4">
        <v>13</v>
      </c>
    </row>
    <row r="22" spans="1:38" x14ac:dyDescent="0.3">
      <c r="F22" s="6">
        <f t="shared" si="0"/>
        <v>3.6666666666666667E-2</v>
      </c>
      <c r="G22" s="2">
        <v>300</v>
      </c>
      <c r="H22" s="2">
        <v>280.20114262798569</v>
      </c>
      <c r="I22" s="2">
        <v>260.57053452366898</v>
      </c>
      <c r="J22" s="2">
        <v>241.2733539675263</v>
      </c>
      <c r="K22" s="2">
        <v>222.46874067679312</v>
      </c>
      <c r="L22" s="2">
        <v>204.30702925674694</v>
      </c>
      <c r="M22" s="2">
        <v>186.92727013670736</v>
      </c>
      <c r="N22" s="2">
        <v>170.45510875086376</v>
      </c>
      <c r="O22" s="2">
        <v>155.00107463428765</v>
      </c>
      <c r="P22" s="2">
        <v>140.65931099015717</v>
      </c>
      <c r="Q22" s="2">
        <v>127.50675361804733</v>
      </c>
      <c r="R22" s="2">
        <v>115.6027473296071</v>
      </c>
      <c r="S22" s="2">
        <v>104.98906943559069</v>
      </c>
      <c r="T22" s="2">
        <v>95.690314648076537</v>
      </c>
      <c r="U22" s="2">
        <v>87.714584570723417</v>
      </c>
      <c r="V22" s="2">
        <v>81.054418255410738</v>
      </c>
      <c r="W22" s="2">
        <v>75.687898121720906</v>
      </c>
      <c r="X22" s="2">
        <v>71.579867553261138</v>
      </c>
      <c r="Y22" s="2">
        <v>68.683202090851367</v>
      </c>
      <c r="Z22" s="2">
        <v>66.940084503407562</v>
      </c>
      <c r="AA22" s="2">
        <v>66.283244166502982</v>
      </c>
      <c r="AB22" s="2">
        <v>66.637132112902918</v>
      </c>
      <c r="AC22" s="2">
        <v>67.919013891339247</v>
      </c>
      <c r="AD22" s="2">
        <v>70.039972168091225</v>
      </c>
      <c r="AE22" s="2">
        <v>72.905819217013729</v>
      </c>
      <c r="AF22" s="2">
        <v>76.417925689672416</v>
      </c>
      <c r="AG22" s="2">
        <v>80.473976208137316</v>
      </c>
      <c r="AH22" s="2">
        <v>84.968664482862394</v>
      </c>
      <c r="AI22" s="2">
        <v>89.794341128753075</v>
      </c>
      <c r="AJ22" s="2">
        <v>94.84162657896627</v>
      </c>
      <c r="AK22" s="2">
        <v>100</v>
      </c>
      <c r="AL22" s="4">
        <v>12</v>
      </c>
    </row>
    <row r="23" spans="1:38" x14ac:dyDescent="0.3">
      <c r="F23" s="6">
        <f t="shared" si="0"/>
        <v>3.3333333333333333E-2</v>
      </c>
      <c r="G23" s="2">
        <v>300</v>
      </c>
      <c r="H23" s="2">
        <v>280.20114262798575</v>
      </c>
      <c r="I23" s="2">
        <v>260.57053452366898</v>
      </c>
      <c r="J23" s="2">
        <v>241.27335396752636</v>
      </c>
      <c r="K23" s="2">
        <v>222.46874067679317</v>
      </c>
      <c r="L23" s="2">
        <v>204.30702925674697</v>
      </c>
      <c r="M23" s="2">
        <v>186.92727013670742</v>
      </c>
      <c r="N23" s="2">
        <v>170.45510875086379</v>
      </c>
      <c r="O23" s="2">
        <v>155.00107463428765</v>
      </c>
      <c r="P23" s="2">
        <v>140.65931099015717</v>
      </c>
      <c r="Q23" s="2">
        <v>127.50675361804736</v>
      </c>
      <c r="R23" s="2">
        <v>115.60274732960711</v>
      </c>
      <c r="S23" s="2">
        <v>104.98906943559069</v>
      </c>
      <c r="T23" s="2">
        <v>95.690314648076566</v>
      </c>
      <c r="U23" s="2">
        <v>87.71458457072346</v>
      </c>
      <c r="V23" s="2">
        <v>81.054418255410752</v>
      </c>
      <c r="W23" s="2">
        <v>75.687898121720906</v>
      </c>
      <c r="X23" s="2">
        <v>71.579867553261153</v>
      </c>
      <c r="Y23" s="2">
        <v>68.683202090851381</v>
      </c>
      <c r="Z23" s="2">
        <v>66.940084503407576</v>
      </c>
      <c r="AA23" s="2">
        <v>66.28324416650301</v>
      </c>
      <c r="AB23" s="2">
        <v>66.637132112902947</v>
      </c>
      <c r="AC23" s="2">
        <v>67.919013891339262</v>
      </c>
      <c r="AD23" s="2">
        <v>70.039972168091239</v>
      </c>
      <c r="AE23" s="2">
        <v>72.905819217013743</v>
      </c>
      <c r="AF23" s="2">
        <v>76.417925689672416</v>
      </c>
      <c r="AG23" s="2">
        <v>80.47397620813733</v>
      </c>
      <c r="AH23" s="2">
        <v>84.968664482862408</v>
      </c>
      <c r="AI23" s="2">
        <v>89.794341128753103</v>
      </c>
      <c r="AJ23" s="2">
        <v>94.84162657896627</v>
      </c>
      <c r="AK23" s="2">
        <v>100</v>
      </c>
      <c r="AL23" s="4">
        <v>11</v>
      </c>
    </row>
    <row r="24" spans="1:38" x14ac:dyDescent="0.3">
      <c r="F24" s="6">
        <f t="shared" si="0"/>
        <v>3.0000000000000002E-2</v>
      </c>
      <c r="G24" s="2">
        <v>300</v>
      </c>
      <c r="H24" s="2">
        <v>280.20114262798575</v>
      </c>
      <c r="I24" s="2">
        <v>260.57053452366904</v>
      </c>
      <c r="J24" s="2">
        <v>241.27335396752639</v>
      </c>
      <c r="K24" s="2">
        <v>222.46874067679317</v>
      </c>
      <c r="L24" s="2">
        <v>204.307029256747</v>
      </c>
      <c r="M24" s="2">
        <v>186.92727013670748</v>
      </c>
      <c r="N24" s="2">
        <v>170.45510875086384</v>
      </c>
      <c r="O24" s="2">
        <v>155.0010746342877</v>
      </c>
      <c r="P24" s="2">
        <v>140.65931099015722</v>
      </c>
      <c r="Q24" s="2">
        <v>127.5067536180474</v>
      </c>
      <c r="R24" s="2">
        <v>115.60274732960713</v>
      </c>
      <c r="S24" s="2">
        <v>104.98906943559072</v>
      </c>
      <c r="T24" s="2">
        <v>95.690314648076594</v>
      </c>
      <c r="U24" s="2">
        <v>87.714584570723474</v>
      </c>
      <c r="V24" s="2">
        <v>81.054418255410766</v>
      </c>
      <c r="W24" s="2">
        <v>75.687898121720934</v>
      </c>
      <c r="X24" s="2">
        <v>71.579867553261167</v>
      </c>
      <c r="Y24" s="2">
        <v>68.68320209085141</v>
      </c>
      <c r="Z24" s="2">
        <v>66.940084503407604</v>
      </c>
      <c r="AA24" s="2">
        <v>66.283244166503025</v>
      </c>
      <c r="AB24" s="2">
        <v>66.637132112902975</v>
      </c>
      <c r="AC24" s="2">
        <v>67.91901389133929</v>
      </c>
      <c r="AD24" s="2">
        <v>70.039972168091253</v>
      </c>
      <c r="AE24" s="2">
        <v>72.905819217013772</v>
      </c>
      <c r="AF24" s="2">
        <v>76.417925689672444</v>
      </c>
      <c r="AG24" s="2">
        <v>80.473976208137344</v>
      </c>
      <c r="AH24" s="2">
        <v>84.968664482862437</v>
      </c>
      <c r="AI24" s="2">
        <v>89.794341128753118</v>
      </c>
      <c r="AJ24" s="2">
        <v>94.841626578966299</v>
      </c>
      <c r="AK24" s="2">
        <v>100</v>
      </c>
      <c r="AL24" s="4">
        <v>10</v>
      </c>
    </row>
    <row r="25" spans="1:38" x14ac:dyDescent="0.3">
      <c r="F25" s="6">
        <f t="shared" si="0"/>
        <v>2.6666666666666668E-2</v>
      </c>
      <c r="G25" s="2">
        <v>300</v>
      </c>
      <c r="H25" s="2">
        <v>280.20114262798575</v>
      </c>
      <c r="I25" s="2">
        <v>260.57053452366904</v>
      </c>
      <c r="J25" s="2">
        <v>241.27335396752639</v>
      </c>
      <c r="K25" s="2">
        <v>222.46874067679317</v>
      </c>
      <c r="L25" s="2">
        <v>204.307029256747</v>
      </c>
      <c r="M25" s="2">
        <v>186.92727013670745</v>
      </c>
      <c r="N25" s="2">
        <v>170.45510875086384</v>
      </c>
      <c r="O25" s="2">
        <v>155.0010746342877</v>
      </c>
      <c r="P25" s="2">
        <v>140.65931099015722</v>
      </c>
      <c r="Q25" s="2">
        <v>127.50675361804738</v>
      </c>
      <c r="R25" s="2">
        <v>115.60274732960713</v>
      </c>
      <c r="S25" s="2">
        <v>104.98906943559075</v>
      </c>
      <c r="T25" s="2">
        <v>95.690314648076594</v>
      </c>
      <c r="U25" s="2">
        <v>87.714584570723488</v>
      </c>
      <c r="V25" s="2">
        <v>81.054418255410781</v>
      </c>
      <c r="W25" s="2">
        <v>75.687898121720934</v>
      </c>
      <c r="X25" s="2">
        <v>71.579867553261181</v>
      </c>
      <c r="Y25" s="2">
        <v>68.68320209085141</v>
      </c>
      <c r="Z25" s="2">
        <v>66.940084503407618</v>
      </c>
      <c r="AA25" s="2">
        <v>66.283244166503025</v>
      </c>
      <c r="AB25" s="2">
        <v>66.637132112902975</v>
      </c>
      <c r="AC25" s="2">
        <v>67.919013891339304</v>
      </c>
      <c r="AD25" s="2">
        <v>70.039972168091268</v>
      </c>
      <c r="AE25" s="2">
        <v>72.905819217013786</v>
      </c>
      <c r="AF25" s="2">
        <v>76.417925689672444</v>
      </c>
      <c r="AG25" s="2">
        <v>80.473976208137344</v>
      </c>
      <c r="AH25" s="2">
        <v>84.968664482862437</v>
      </c>
      <c r="AI25" s="2">
        <v>89.794341128753103</v>
      </c>
      <c r="AJ25" s="2">
        <v>94.841626578966299</v>
      </c>
      <c r="AK25" s="2">
        <v>100</v>
      </c>
      <c r="AL25" s="4">
        <v>9</v>
      </c>
    </row>
    <row r="26" spans="1:38" x14ac:dyDescent="0.3">
      <c r="F26" s="6">
        <f t="shared" si="0"/>
        <v>2.3333333333333334E-2</v>
      </c>
      <c r="G26" s="2">
        <v>300</v>
      </c>
      <c r="H26" s="2">
        <v>280.20114262798575</v>
      </c>
      <c r="I26" s="2">
        <v>260.57053452366898</v>
      </c>
      <c r="J26" s="2">
        <v>241.27335396752636</v>
      </c>
      <c r="K26" s="2">
        <v>222.46874067679317</v>
      </c>
      <c r="L26" s="2">
        <v>204.30702925674697</v>
      </c>
      <c r="M26" s="2">
        <v>186.92727013670745</v>
      </c>
      <c r="N26" s="2">
        <v>170.45510875086381</v>
      </c>
      <c r="O26" s="2">
        <v>155.0010746342877</v>
      </c>
      <c r="P26" s="2">
        <v>140.65931099015722</v>
      </c>
      <c r="Q26" s="2">
        <v>127.50675361804738</v>
      </c>
      <c r="R26" s="2">
        <v>115.60274732960711</v>
      </c>
      <c r="S26" s="2">
        <v>104.98906943559072</v>
      </c>
      <c r="T26" s="2">
        <v>95.690314648076594</v>
      </c>
      <c r="U26" s="2">
        <v>87.714584570723474</v>
      </c>
      <c r="V26" s="2">
        <v>81.054418255410766</v>
      </c>
      <c r="W26" s="2">
        <v>75.687898121720934</v>
      </c>
      <c r="X26" s="2">
        <v>71.579867553261167</v>
      </c>
      <c r="Y26" s="2">
        <v>68.68320209085141</v>
      </c>
      <c r="Z26" s="2">
        <v>66.940084503407618</v>
      </c>
      <c r="AA26" s="2">
        <v>66.283244166503025</v>
      </c>
      <c r="AB26" s="2">
        <v>66.637132112902975</v>
      </c>
      <c r="AC26" s="2">
        <v>67.91901389133929</v>
      </c>
      <c r="AD26" s="2">
        <v>70.039972168091268</v>
      </c>
      <c r="AE26" s="2">
        <v>72.905819217013786</v>
      </c>
      <c r="AF26" s="2">
        <v>76.417925689672444</v>
      </c>
      <c r="AG26" s="2">
        <v>80.473976208137344</v>
      </c>
      <c r="AH26" s="2">
        <v>84.968664482862422</v>
      </c>
      <c r="AI26" s="2">
        <v>89.794341128753089</v>
      </c>
      <c r="AJ26" s="2">
        <v>94.841626578966284</v>
      </c>
      <c r="AK26" s="2">
        <v>100</v>
      </c>
      <c r="AL26" s="4">
        <v>8</v>
      </c>
    </row>
    <row r="27" spans="1:38" x14ac:dyDescent="0.3">
      <c r="F27" s="6">
        <f t="shared" si="0"/>
        <v>0.02</v>
      </c>
      <c r="G27" s="2">
        <v>300</v>
      </c>
      <c r="H27" s="2">
        <v>280.20114262798569</v>
      </c>
      <c r="I27" s="2">
        <v>260.57053452366898</v>
      </c>
      <c r="J27" s="2">
        <v>241.27335396752636</v>
      </c>
      <c r="K27" s="2">
        <v>222.46874067679315</v>
      </c>
      <c r="L27" s="2">
        <v>204.30702925674694</v>
      </c>
      <c r="M27" s="2">
        <v>186.92727013670742</v>
      </c>
      <c r="N27" s="2">
        <v>170.45510875086379</v>
      </c>
      <c r="O27" s="2">
        <v>155.00107463428765</v>
      </c>
      <c r="P27" s="2">
        <v>140.65931099015717</v>
      </c>
      <c r="Q27" s="2">
        <v>127.50675361804737</v>
      </c>
      <c r="R27" s="2">
        <v>115.6027473296071</v>
      </c>
      <c r="S27" s="2">
        <v>104.98906943559072</v>
      </c>
      <c r="T27" s="2">
        <v>95.69031464807658</v>
      </c>
      <c r="U27" s="2">
        <v>87.71458457072346</v>
      </c>
      <c r="V27" s="2">
        <v>81.054418255410752</v>
      </c>
      <c r="W27" s="2">
        <v>75.687898121720934</v>
      </c>
      <c r="X27" s="2">
        <v>71.579867553261167</v>
      </c>
      <c r="Y27" s="2">
        <v>68.683202090851395</v>
      </c>
      <c r="Z27" s="2">
        <v>66.940084503407604</v>
      </c>
      <c r="AA27" s="2">
        <v>66.283244166503025</v>
      </c>
      <c r="AB27" s="2">
        <v>66.637132112902961</v>
      </c>
      <c r="AC27" s="2">
        <v>67.91901389133929</v>
      </c>
      <c r="AD27" s="2">
        <v>70.039972168091253</v>
      </c>
      <c r="AE27" s="2">
        <v>72.905819217013772</v>
      </c>
      <c r="AF27" s="2">
        <v>76.41792568967243</v>
      </c>
      <c r="AG27" s="2">
        <v>80.47397620813733</v>
      </c>
      <c r="AH27" s="2">
        <v>84.968664482862394</v>
      </c>
      <c r="AI27" s="2">
        <v>89.794341128753075</v>
      </c>
      <c r="AJ27" s="2">
        <v>94.84162657896627</v>
      </c>
      <c r="AK27" s="2">
        <v>100</v>
      </c>
      <c r="AL27" s="4">
        <v>7</v>
      </c>
    </row>
    <row r="28" spans="1:38" x14ac:dyDescent="0.3">
      <c r="F28" s="6">
        <f t="shared" si="0"/>
        <v>1.6666666666666666E-2</v>
      </c>
      <c r="G28" s="2">
        <v>300</v>
      </c>
      <c r="H28" s="2">
        <v>280.20114262798563</v>
      </c>
      <c r="I28" s="2">
        <v>260.57053452366893</v>
      </c>
      <c r="J28" s="2">
        <v>241.27335396752633</v>
      </c>
      <c r="K28" s="2">
        <v>222.46874067679309</v>
      </c>
      <c r="L28" s="2">
        <v>204.30702925674692</v>
      </c>
      <c r="M28" s="2">
        <v>186.92727013670742</v>
      </c>
      <c r="N28" s="2">
        <v>170.45510875086376</v>
      </c>
      <c r="O28" s="2">
        <v>155.00107463428765</v>
      </c>
      <c r="P28" s="2">
        <v>140.65931099015717</v>
      </c>
      <c r="Q28" s="2">
        <v>127.50675361804736</v>
      </c>
      <c r="R28" s="2">
        <v>115.6027473296071</v>
      </c>
      <c r="S28" s="2">
        <v>104.98906943559072</v>
      </c>
      <c r="T28" s="2">
        <v>95.690314648076566</v>
      </c>
      <c r="U28" s="2">
        <v>87.714584570723446</v>
      </c>
      <c r="V28" s="2">
        <v>81.054418255410752</v>
      </c>
      <c r="W28" s="2">
        <v>75.687898121720934</v>
      </c>
      <c r="X28" s="2">
        <v>71.579867553261153</v>
      </c>
      <c r="Y28" s="2">
        <v>68.683202090851395</v>
      </c>
      <c r="Z28" s="2">
        <v>66.94008450340759</v>
      </c>
      <c r="AA28" s="2">
        <v>66.283244166503025</v>
      </c>
      <c r="AB28" s="2">
        <v>66.637132112902961</v>
      </c>
      <c r="AC28" s="2">
        <v>67.91901389133929</v>
      </c>
      <c r="AD28" s="2">
        <v>70.039972168091253</v>
      </c>
      <c r="AE28" s="2">
        <v>72.905819217013772</v>
      </c>
      <c r="AF28" s="2">
        <v>76.41792568967243</v>
      </c>
      <c r="AG28" s="2">
        <v>80.473976208137316</v>
      </c>
      <c r="AH28" s="2">
        <v>84.968664482862394</v>
      </c>
      <c r="AI28" s="2">
        <v>89.794341128753075</v>
      </c>
      <c r="AJ28" s="2">
        <v>94.84162657896627</v>
      </c>
      <c r="AK28" s="2">
        <v>100</v>
      </c>
      <c r="AL28" s="4">
        <v>6</v>
      </c>
    </row>
    <row r="29" spans="1:38" x14ac:dyDescent="0.3">
      <c r="F29" s="6">
        <f t="shared" si="0"/>
        <v>1.3333333333333334E-2</v>
      </c>
      <c r="G29" s="2">
        <v>300</v>
      </c>
      <c r="H29" s="2">
        <v>280.20114262798563</v>
      </c>
      <c r="I29" s="2">
        <v>260.57053452366893</v>
      </c>
      <c r="J29" s="2">
        <v>241.27335396752633</v>
      </c>
      <c r="K29" s="2">
        <v>222.46874067679309</v>
      </c>
      <c r="L29" s="2">
        <v>204.30702925674694</v>
      </c>
      <c r="M29" s="2">
        <v>186.92727013670745</v>
      </c>
      <c r="N29" s="2">
        <v>170.45510875086381</v>
      </c>
      <c r="O29" s="2">
        <v>155.0010746342877</v>
      </c>
      <c r="P29" s="2">
        <v>140.65931099015717</v>
      </c>
      <c r="Q29" s="2">
        <v>127.50675361804738</v>
      </c>
      <c r="R29" s="2">
        <v>115.60274732960713</v>
      </c>
      <c r="S29" s="2">
        <v>104.98906943559074</v>
      </c>
      <c r="T29" s="2">
        <v>95.690314648076566</v>
      </c>
      <c r="U29" s="2">
        <v>87.714584570723446</v>
      </c>
      <c r="V29" s="2">
        <v>81.054418255410752</v>
      </c>
      <c r="W29" s="2">
        <v>75.687898121720934</v>
      </c>
      <c r="X29" s="2">
        <v>71.579867553261167</v>
      </c>
      <c r="Y29" s="2">
        <v>68.68320209085141</v>
      </c>
      <c r="Z29" s="2">
        <v>66.940084503407604</v>
      </c>
      <c r="AA29" s="2">
        <v>66.283244166503025</v>
      </c>
      <c r="AB29" s="2">
        <v>66.637132112902975</v>
      </c>
      <c r="AC29" s="2">
        <v>67.91901389133929</v>
      </c>
      <c r="AD29" s="2">
        <v>70.039972168091282</v>
      </c>
      <c r="AE29" s="2">
        <v>72.905819217013786</v>
      </c>
      <c r="AF29" s="2">
        <v>76.417925689672444</v>
      </c>
      <c r="AG29" s="2">
        <v>80.473976208137316</v>
      </c>
      <c r="AH29" s="2">
        <v>84.968664482862408</v>
      </c>
      <c r="AI29" s="2">
        <v>89.794341128753089</v>
      </c>
      <c r="AJ29" s="2">
        <v>94.84162657896627</v>
      </c>
      <c r="AK29" s="2">
        <v>100</v>
      </c>
      <c r="AL29" s="4">
        <v>5</v>
      </c>
    </row>
    <row r="30" spans="1:38" x14ac:dyDescent="0.3">
      <c r="F30" s="6">
        <f t="shared" si="0"/>
        <v>0.01</v>
      </c>
      <c r="G30" s="2">
        <v>300</v>
      </c>
      <c r="H30" s="2">
        <v>280.20114262798563</v>
      </c>
      <c r="I30" s="2">
        <v>260.57053452366893</v>
      </c>
      <c r="J30" s="2">
        <v>241.27335396752636</v>
      </c>
      <c r="K30" s="2">
        <v>222.46874067679317</v>
      </c>
      <c r="L30" s="2">
        <v>204.30702925674697</v>
      </c>
      <c r="M30" s="2">
        <v>186.92727013670748</v>
      </c>
      <c r="N30" s="2">
        <v>170.45510875086387</v>
      </c>
      <c r="O30" s="2">
        <v>155.00107463428773</v>
      </c>
      <c r="P30" s="2">
        <v>140.65931099015722</v>
      </c>
      <c r="Q30" s="2">
        <v>127.50675361804738</v>
      </c>
      <c r="R30" s="2">
        <v>115.60274732960713</v>
      </c>
      <c r="S30" s="2">
        <v>104.98906943559074</v>
      </c>
      <c r="T30" s="2">
        <v>95.690314648076566</v>
      </c>
      <c r="U30" s="2">
        <v>87.714584570723474</v>
      </c>
      <c r="V30" s="2">
        <v>81.054418255410781</v>
      </c>
      <c r="W30" s="2">
        <v>75.687898121720949</v>
      </c>
      <c r="X30" s="2">
        <v>71.579867553261181</v>
      </c>
      <c r="Y30" s="2">
        <v>68.68320209085141</v>
      </c>
      <c r="Z30" s="2">
        <v>66.940084503407618</v>
      </c>
      <c r="AA30" s="2">
        <v>66.283244166503039</v>
      </c>
      <c r="AB30" s="2">
        <v>66.637132112902975</v>
      </c>
      <c r="AC30" s="2">
        <v>67.919013891339304</v>
      </c>
      <c r="AD30" s="2">
        <v>70.039972168091296</v>
      </c>
      <c r="AE30" s="2">
        <v>72.905819217013828</v>
      </c>
      <c r="AF30" s="2">
        <v>76.417925689672472</v>
      </c>
      <c r="AG30" s="2">
        <v>80.473976208137344</v>
      </c>
      <c r="AH30" s="2">
        <v>84.968664482862437</v>
      </c>
      <c r="AI30" s="2">
        <v>89.794341128753118</v>
      </c>
      <c r="AJ30" s="2">
        <v>94.84162657896627</v>
      </c>
      <c r="AK30" s="2">
        <v>100</v>
      </c>
      <c r="AL30" s="4">
        <v>4</v>
      </c>
    </row>
    <row r="31" spans="1:38" x14ac:dyDescent="0.3">
      <c r="F31" s="6">
        <f t="shared" si="0"/>
        <v>6.6666666666666671E-3</v>
      </c>
      <c r="G31" s="2">
        <v>300</v>
      </c>
      <c r="H31" s="2">
        <v>280.20114262798575</v>
      </c>
      <c r="I31" s="2">
        <v>260.57053452366898</v>
      </c>
      <c r="J31" s="2">
        <v>241.27335396752636</v>
      </c>
      <c r="K31" s="2">
        <v>222.4687406767932</v>
      </c>
      <c r="L31" s="2">
        <v>204.30702925674703</v>
      </c>
      <c r="M31" s="2">
        <v>186.92727013670748</v>
      </c>
      <c r="N31" s="2">
        <v>170.4551087508639</v>
      </c>
      <c r="O31" s="2">
        <v>155.00107463428779</v>
      </c>
      <c r="P31" s="2">
        <v>140.65931099015725</v>
      </c>
      <c r="Q31" s="2">
        <v>127.50675361804741</v>
      </c>
      <c r="R31" s="2">
        <v>115.60274732960713</v>
      </c>
      <c r="S31" s="2">
        <v>104.98906943559076</v>
      </c>
      <c r="T31" s="2">
        <v>95.690314648076608</v>
      </c>
      <c r="U31" s="2">
        <v>87.714584570723503</v>
      </c>
      <c r="V31" s="2">
        <v>81.054418255410809</v>
      </c>
      <c r="W31" s="2">
        <v>75.687898121720977</v>
      </c>
      <c r="X31" s="2">
        <v>71.579867553261195</v>
      </c>
      <c r="Y31" s="2">
        <v>68.683202090851438</v>
      </c>
      <c r="Z31" s="2">
        <v>66.940084503407633</v>
      </c>
      <c r="AA31" s="2">
        <v>66.283244166503053</v>
      </c>
      <c r="AB31" s="2">
        <v>66.637132112902989</v>
      </c>
      <c r="AC31" s="2">
        <v>67.919013891339318</v>
      </c>
      <c r="AD31" s="2">
        <v>70.039972168091296</v>
      </c>
      <c r="AE31" s="2">
        <v>72.905819217013828</v>
      </c>
      <c r="AF31" s="2">
        <v>76.417925689672487</v>
      </c>
      <c r="AG31" s="2">
        <v>80.473976208137373</v>
      </c>
      <c r="AH31" s="2">
        <v>84.968664482862437</v>
      </c>
      <c r="AI31" s="2">
        <v>89.794341128753118</v>
      </c>
      <c r="AJ31" s="2">
        <v>94.841626578966284</v>
      </c>
      <c r="AK31" s="2">
        <v>100</v>
      </c>
      <c r="AL31" s="4">
        <v>3</v>
      </c>
    </row>
    <row r="32" spans="1:38" x14ac:dyDescent="0.3">
      <c r="F32" s="6">
        <f>F33+$B$4</f>
        <v>3.3333333333333335E-3</v>
      </c>
      <c r="G32" s="2">
        <v>300</v>
      </c>
      <c r="H32" s="2">
        <v>280.20114262798575</v>
      </c>
      <c r="I32" s="2">
        <v>260.57053452366904</v>
      </c>
      <c r="J32" s="2">
        <v>241.27335396752648</v>
      </c>
      <c r="K32" s="2">
        <v>222.46874067679329</v>
      </c>
      <c r="L32" s="2">
        <v>204.30702925674711</v>
      </c>
      <c r="M32" s="2">
        <v>186.92727013670753</v>
      </c>
      <c r="N32" s="2">
        <v>170.45510875086393</v>
      </c>
      <c r="O32" s="2">
        <v>155.00107463428782</v>
      </c>
      <c r="P32" s="2">
        <v>140.65931099015725</v>
      </c>
      <c r="Q32" s="2">
        <v>127.50675361804741</v>
      </c>
      <c r="R32" s="2">
        <v>115.60274732960715</v>
      </c>
      <c r="S32" s="2">
        <v>104.98906943559079</v>
      </c>
      <c r="T32" s="2">
        <v>95.690314648076651</v>
      </c>
      <c r="U32" s="2">
        <v>87.714584570723531</v>
      </c>
      <c r="V32" s="2">
        <v>81.054418255410837</v>
      </c>
      <c r="W32" s="2">
        <v>75.687898121720991</v>
      </c>
      <c r="X32" s="2">
        <v>71.579867553261224</v>
      </c>
      <c r="Y32" s="2">
        <v>68.683202090851438</v>
      </c>
      <c r="Z32" s="2">
        <v>66.940084503407633</v>
      </c>
      <c r="AA32" s="2">
        <v>66.283244166503053</v>
      </c>
      <c r="AB32" s="2">
        <v>66.637132112903004</v>
      </c>
      <c r="AC32" s="2">
        <v>67.919013891339318</v>
      </c>
      <c r="AD32" s="2">
        <v>70.03997216809131</v>
      </c>
      <c r="AE32" s="2">
        <v>72.905819217013843</v>
      </c>
      <c r="AF32" s="2">
        <v>76.417925689672501</v>
      </c>
      <c r="AG32" s="2">
        <v>80.473976208137387</v>
      </c>
      <c r="AH32" s="2">
        <v>84.968664482862465</v>
      </c>
      <c r="AI32" s="2">
        <v>89.794341128753132</v>
      </c>
      <c r="AJ32" s="2">
        <v>94.841626578966299</v>
      </c>
      <c r="AK32" s="2">
        <v>100</v>
      </c>
      <c r="AL32" s="4">
        <v>2</v>
      </c>
    </row>
    <row r="33" spans="6:137" x14ac:dyDescent="0.3">
      <c r="F33" s="5">
        <v>0</v>
      </c>
      <c r="G33" s="2">
        <v>300</v>
      </c>
      <c r="H33" s="2">
        <v>280.20114262798575</v>
      </c>
      <c r="I33" s="2">
        <v>260.57053452366904</v>
      </c>
      <c r="J33" s="2">
        <v>241.27335396752648</v>
      </c>
      <c r="K33" s="2">
        <v>222.46874067679329</v>
      </c>
      <c r="L33" s="2">
        <v>204.30702925674711</v>
      </c>
      <c r="M33" s="2">
        <v>186.92727013670753</v>
      </c>
      <c r="N33" s="2">
        <v>170.45510875086393</v>
      </c>
      <c r="O33" s="2">
        <v>155.00107463428782</v>
      </c>
      <c r="P33" s="2">
        <v>140.65931099015725</v>
      </c>
      <c r="Q33" s="2">
        <v>127.50675361804741</v>
      </c>
      <c r="R33" s="2">
        <v>115.60274732960715</v>
      </c>
      <c r="S33" s="2">
        <v>104.98906943559079</v>
      </c>
      <c r="T33" s="2">
        <v>95.690314648076651</v>
      </c>
      <c r="U33" s="2">
        <v>87.714584570723531</v>
      </c>
      <c r="V33" s="2">
        <v>81.054418255410837</v>
      </c>
      <c r="W33" s="2">
        <v>75.687898121720991</v>
      </c>
      <c r="X33" s="2">
        <v>71.579867553261224</v>
      </c>
      <c r="Y33" s="2">
        <v>68.683202090851438</v>
      </c>
      <c r="Z33" s="2">
        <v>66.940084503407633</v>
      </c>
      <c r="AA33" s="2">
        <v>66.283244166503053</v>
      </c>
      <c r="AB33" s="2">
        <v>66.637132112903004</v>
      </c>
      <c r="AC33" s="2">
        <v>67.919013891339318</v>
      </c>
      <c r="AD33" s="2">
        <v>70.03997216809131</v>
      </c>
      <c r="AE33" s="2">
        <v>72.905819217013843</v>
      </c>
      <c r="AF33" s="2">
        <v>76.417925689672501</v>
      </c>
      <c r="AG33" s="2">
        <v>80.473976208137387</v>
      </c>
      <c r="AH33" s="2">
        <v>84.968664482862465</v>
      </c>
      <c r="AI33" s="2">
        <v>89.794341128753132</v>
      </c>
      <c r="AJ33" s="2">
        <v>94.841626578966299</v>
      </c>
      <c r="AK33" s="2">
        <v>100</v>
      </c>
      <c r="AL33" s="4">
        <v>1</v>
      </c>
      <c r="AN33" s="11"/>
      <c r="AO33" s="12"/>
      <c r="AP33" s="11"/>
      <c r="AQ33" s="12"/>
      <c r="AR33" s="11"/>
      <c r="AS33" s="12"/>
      <c r="AT33" s="11"/>
      <c r="AU33" s="12"/>
      <c r="AV33" s="11"/>
      <c r="AW33" s="12"/>
      <c r="AX33" s="11"/>
      <c r="AY33" s="12"/>
      <c r="AZ33" s="11"/>
      <c r="BA33" s="12"/>
      <c r="BB33" s="11"/>
      <c r="BC33" s="12"/>
      <c r="BD33" s="11"/>
      <c r="BE33" s="12"/>
      <c r="BF33" s="11"/>
      <c r="BG33" s="12"/>
      <c r="BH33" s="11"/>
      <c r="BI33" s="12"/>
      <c r="BJ33" s="11"/>
      <c r="BK33" s="12"/>
      <c r="BL33" s="11"/>
      <c r="BM33" s="12"/>
      <c r="BN33" s="11"/>
      <c r="BO33" s="12"/>
      <c r="BP33" s="11"/>
      <c r="BQ33" s="12"/>
      <c r="BR33" s="11"/>
    </row>
    <row r="34" spans="6:137" x14ac:dyDescent="0.3">
      <c r="G34" s="7">
        <v>0</v>
      </c>
      <c r="H34" s="8">
        <f>G34+$B$3</f>
        <v>3.3333333333333335E-3</v>
      </c>
      <c r="I34" s="8">
        <f t="shared" ref="I34:AK34" si="1">H34+$B$3</f>
        <v>6.6666666666666671E-3</v>
      </c>
      <c r="J34" s="8">
        <f t="shared" si="1"/>
        <v>0.01</v>
      </c>
      <c r="K34" s="8">
        <f t="shared" si="1"/>
        <v>1.3333333333333334E-2</v>
      </c>
      <c r="L34" s="8">
        <f t="shared" si="1"/>
        <v>1.6666666666666666E-2</v>
      </c>
      <c r="M34" s="8">
        <f t="shared" si="1"/>
        <v>0.02</v>
      </c>
      <c r="N34" s="8">
        <f t="shared" si="1"/>
        <v>2.3333333333333334E-2</v>
      </c>
      <c r="O34" s="8">
        <f t="shared" si="1"/>
        <v>2.6666666666666668E-2</v>
      </c>
      <c r="P34" s="8">
        <f t="shared" si="1"/>
        <v>3.0000000000000002E-2</v>
      </c>
      <c r="Q34" s="8">
        <f t="shared" si="1"/>
        <v>3.3333333333333333E-2</v>
      </c>
      <c r="R34" s="8">
        <f t="shared" si="1"/>
        <v>3.6666666666666667E-2</v>
      </c>
      <c r="S34" s="8">
        <f t="shared" si="1"/>
        <v>0.04</v>
      </c>
      <c r="T34" s="8">
        <f t="shared" si="1"/>
        <v>4.3333333333333335E-2</v>
      </c>
      <c r="U34" s="8">
        <f t="shared" si="1"/>
        <v>4.6666666666666669E-2</v>
      </c>
      <c r="V34" s="8">
        <f t="shared" si="1"/>
        <v>0.05</v>
      </c>
      <c r="W34" s="8">
        <f t="shared" si="1"/>
        <v>5.3333333333333337E-2</v>
      </c>
      <c r="X34" s="8">
        <f t="shared" si="1"/>
        <v>5.6666666666666671E-2</v>
      </c>
      <c r="Y34" s="8">
        <f t="shared" si="1"/>
        <v>6.0000000000000005E-2</v>
      </c>
      <c r="Z34" s="8">
        <f t="shared" si="1"/>
        <v>6.3333333333333339E-2</v>
      </c>
      <c r="AA34" s="8">
        <f t="shared" si="1"/>
        <v>6.6666666666666666E-2</v>
      </c>
      <c r="AB34" s="8">
        <f t="shared" si="1"/>
        <v>6.9999999999999993E-2</v>
      </c>
      <c r="AC34" s="8">
        <f t="shared" si="1"/>
        <v>7.333333333333332E-2</v>
      </c>
      <c r="AD34" s="8">
        <f t="shared" si="1"/>
        <v>7.6666666666666647E-2</v>
      </c>
      <c r="AE34" s="8">
        <f t="shared" si="1"/>
        <v>7.9999999999999974E-2</v>
      </c>
      <c r="AF34" s="8">
        <f t="shared" si="1"/>
        <v>8.3333333333333301E-2</v>
      </c>
      <c r="AG34" s="8">
        <f t="shared" si="1"/>
        <v>8.6666666666666628E-2</v>
      </c>
      <c r="AH34" s="8">
        <f t="shared" si="1"/>
        <v>8.9999999999999955E-2</v>
      </c>
      <c r="AI34" s="8">
        <f t="shared" si="1"/>
        <v>9.3333333333333282E-2</v>
      </c>
      <c r="AJ34" s="8">
        <f t="shared" si="1"/>
        <v>9.6666666666666609E-2</v>
      </c>
      <c r="AK34" s="8">
        <f t="shared" si="1"/>
        <v>9.9999999999999936E-2</v>
      </c>
    </row>
    <row r="35" spans="6:137" x14ac:dyDescent="0.3">
      <c r="F35" s="17" t="s">
        <v>17</v>
      </c>
      <c r="G35" s="3">
        <v>300</v>
      </c>
      <c r="H35" s="2">
        <f t="shared" ref="H35:AI44" si="2">BV35*I35+DD35</f>
        <v>280.28451209215393</v>
      </c>
      <c r="I35" s="2">
        <f t="shared" si="2"/>
        <v>260.73576311264429</v>
      </c>
      <c r="J35" s="2">
        <f t="shared" si="2"/>
        <v>241.51747131108533</v>
      </c>
      <c r="K35" s="2">
        <f t="shared" si="2"/>
        <v>222.78741419664433</v>
      </c>
      <c r="L35" s="2">
        <f t="shared" si="2"/>
        <v>204.69470412190583</v>
      </c>
      <c r="M35" s="2">
        <f t="shared" si="2"/>
        <v>187.37734377748515</v>
      </c>
      <c r="N35" s="2">
        <f t="shared" si="2"/>
        <v>170.96013071462002</v>
      </c>
      <c r="O35" s="2">
        <f t="shared" si="2"/>
        <v>155.55296157926739</v>
      </c>
      <c r="P35" s="2">
        <f t="shared" si="2"/>
        <v>141.24956633387424</v>
      </c>
      <c r="Q35" s="2">
        <f t="shared" si="2"/>
        <v>128.1266817759153</v>
      </c>
      <c r="R35" s="2">
        <f t="shared" si="2"/>
        <v>116.24365353369214</v>
      </c>
      <c r="S35" s="2">
        <f t="shared" si="2"/>
        <v>105.64243769963892</v>
      </c>
      <c r="T35" s="2">
        <f t="shared" si="2"/>
        <v>96.347958393682063</v>
      </c>
      <c r="U35" s="2">
        <f t="shared" si="2"/>
        <v>88.36876657893616</v>
      </c>
      <c r="V35" s="2">
        <f t="shared" si="2"/>
        <v>81.697938780615601</v>
      </c>
      <c r="W35" s="2">
        <f t="shared" si="2"/>
        <v>76.314152032704584</v>
      </c>
      <c r="X35" s="2">
        <f t="shared" si="2"/>
        <v>72.182873106760809</v>
      </c>
      <c r="Y35" s="2">
        <f t="shared" si="2"/>
        <v>69.257605287816176</v>
      </c>
      <c r="Z35" s="2">
        <f t="shared" si="2"/>
        <v>67.481143862801005</v>
      </c>
      <c r="AA35" s="2">
        <f t="shared" si="2"/>
        <v>66.786801156572579</v>
      </c>
      <c r="AB35" s="2">
        <f t="shared" si="2"/>
        <v>67.099572430483221</v>
      </c>
      <c r="AC35" s="2">
        <f t="shared" si="2"/>
        <v>68.337224339554268</v>
      </c>
      <c r="AD35" s="2">
        <f t="shared" si="2"/>
        <v>70.411297145055244</v>
      </c>
      <c r="AE35" s="2">
        <f t="shared" si="2"/>
        <v>73.228019904484043</v>
      </c>
      <c r="AF35" s="2">
        <f t="shared" si="2"/>
        <v>76.6891440388532</v>
      </c>
      <c r="AG35" s="2">
        <f t="shared" si="2"/>
        <v>80.6927048715837</v>
      </c>
      <c r="AH35" s="2">
        <f t="shared" si="2"/>
        <v>85.133723031206898</v>
      </c>
      <c r="AI35" s="2">
        <f t="shared" si="2"/>
        <v>89.904858287519005</v>
      </c>
      <c r="AJ35" s="2">
        <f>CX35*AK35+EF35</f>
        <v>94.897027861362886</v>
      </c>
      <c r="AK35" s="2">
        <v>100</v>
      </c>
      <c r="AM35" s="17" t="s">
        <v>18</v>
      </c>
      <c r="AN35" s="9">
        <f>-($B$9*$B$8*G3)/$B$6</f>
        <v>-2483999999.9999995</v>
      </c>
      <c r="AO35" s="9">
        <f>-($B$9*$B$8*H3)/$B$6</f>
        <v>-2320065460.9597211</v>
      </c>
      <c r="AP35" s="9">
        <f t="shared" ref="AP35:BR35" si="3">-($B$9*$B$8*I3)/$B$6</f>
        <v>-2157524025.855979</v>
      </c>
      <c r="AQ35" s="9">
        <f t="shared" si="3"/>
        <v>-1997743370.8511176</v>
      </c>
      <c r="AR35" s="9">
        <f t="shared" si="3"/>
        <v>-1842041172.8038464</v>
      </c>
      <c r="AS35" s="9">
        <f t="shared" si="3"/>
        <v>-1691662202.2458639</v>
      </c>
      <c r="AT35" s="9">
        <f t="shared" si="3"/>
        <v>-1547757796.7319367</v>
      </c>
      <c r="AU35" s="9">
        <f t="shared" si="3"/>
        <v>-1411368300.4571517</v>
      </c>
      <c r="AV35" s="9">
        <f t="shared" si="3"/>
        <v>-1283408897.9719014</v>
      </c>
      <c r="AW35" s="9">
        <f t="shared" si="3"/>
        <v>-1164659094.9985008</v>
      </c>
      <c r="AX35" s="9">
        <f t="shared" si="3"/>
        <v>-1055755919.9574324</v>
      </c>
      <c r="AY35" s="9">
        <f t="shared" si="3"/>
        <v>-957190747.88914692</v>
      </c>
      <c r="AZ35" s="9">
        <f t="shared" si="3"/>
        <v>-869309494.92669106</v>
      </c>
      <c r="BA35" s="9">
        <f t="shared" si="3"/>
        <v>-792315805.28607392</v>
      </c>
      <c r="BB35" s="9">
        <f t="shared" si="3"/>
        <v>-726276760.24559021</v>
      </c>
      <c r="BC35" s="9">
        <f t="shared" si="3"/>
        <v>-671130583.15480161</v>
      </c>
      <c r="BD35" s="9">
        <f t="shared" si="3"/>
        <v>-626695796.44784951</v>
      </c>
      <c r="BE35" s="9">
        <f t="shared" si="3"/>
        <v>-592681303.34100282</v>
      </c>
      <c r="BF35" s="9">
        <f t="shared" si="3"/>
        <v>-568696913.31224978</v>
      </c>
      <c r="BG35" s="9">
        <f t="shared" si="3"/>
        <v>-554263899.68821502</v>
      </c>
      <c r="BH35" s="9">
        <f t="shared" si="3"/>
        <v>-548825261.69864511</v>
      </c>
      <c r="BI35" s="9">
        <f t="shared" si="3"/>
        <v>-551755453.89483678</v>
      </c>
      <c r="BJ35" s="9">
        <f t="shared" si="3"/>
        <v>-562369435.02028942</v>
      </c>
      <c r="BK35" s="9">
        <f t="shared" si="3"/>
        <v>-579930969.55179608</v>
      </c>
      <c r="BL35" s="9">
        <f t="shared" si="3"/>
        <v>-603660183.11687446</v>
      </c>
      <c r="BM35" s="9">
        <f t="shared" si="3"/>
        <v>-632740424.71048832</v>
      </c>
      <c r="BN35" s="9">
        <f t="shared" si="3"/>
        <v>-666324523.0033772</v>
      </c>
      <c r="BO35" s="9">
        <f t="shared" si="3"/>
        <v>-703540541.91810083</v>
      </c>
      <c r="BP35" s="9">
        <f t="shared" si="3"/>
        <v>-743497144.54607558</v>
      </c>
      <c r="BQ35" s="9">
        <f t="shared" si="3"/>
        <v>-785288668.07384062</v>
      </c>
      <c r="BR35" s="9">
        <f t="shared" si="3"/>
        <v>-827999999.99999988</v>
      </c>
      <c r="BT35" s="17" t="s">
        <v>19</v>
      </c>
      <c r="BU35" s="9">
        <v>0</v>
      </c>
      <c r="BV35" s="9">
        <f>$C$12/($C$13-BU35*$C$14)</f>
        <v>0.25</v>
      </c>
      <c r="BW35" s="9">
        <f t="shared" ref="BW35:CY35" si="4">$C$12/($C$13-BV35*$C$14)</f>
        <v>0.26666666666666666</v>
      </c>
      <c r="BX35" s="9">
        <f t="shared" si="4"/>
        <v>0.26785714285714285</v>
      </c>
      <c r="BY35" s="9">
        <f t="shared" si="4"/>
        <v>0.26794258373205743</v>
      </c>
      <c r="BZ35" s="9">
        <f t="shared" si="4"/>
        <v>0.26794871794871794</v>
      </c>
      <c r="CA35" s="9">
        <f t="shared" si="4"/>
        <v>0.26794915836482308</v>
      </c>
      <c r="CB35" s="9">
        <f t="shared" si="4"/>
        <v>0.26794918998527245</v>
      </c>
      <c r="CC35" s="9">
        <f t="shared" si="4"/>
        <v>0.26794919225551855</v>
      </c>
      <c r="CD35" s="9">
        <f t="shared" si="4"/>
        <v>0.26794919241851489</v>
      </c>
      <c r="CE35" s="9">
        <f t="shared" si="4"/>
        <v>0.26794919243021753</v>
      </c>
      <c r="CF35" s="9">
        <f t="shared" si="4"/>
        <v>0.26794919243105775</v>
      </c>
      <c r="CG35" s="9">
        <f t="shared" si="4"/>
        <v>0.26794919243111803</v>
      </c>
      <c r="CH35" s="9">
        <f t="shared" si="4"/>
        <v>0.26794919243112236</v>
      </c>
      <c r="CI35" s="9">
        <f t="shared" si="4"/>
        <v>0.2679491924311227</v>
      </c>
      <c r="CJ35" s="9">
        <f t="shared" si="4"/>
        <v>0.2679491924311227</v>
      </c>
      <c r="CK35" s="9">
        <f t="shared" si="4"/>
        <v>0.2679491924311227</v>
      </c>
      <c r="CL35" s="9">
        <f t="shared" si="4"/>
        <v>0.2679491924311227</v>
      </c>
      <c r="CM35" s="9">
        <f t="shared" si="4"/>
        <v>0.2679491924311227</v>
      </c>
      <c r="CN35" s="9">
        <f t="shared" si="4"/>
        <v>0.2679491924311227</v>
      </c>
      <c r="CO35" s="9">
        <f t="shared" si="4"/>
        <v>0.2679491924311227</v>
      </c>
      <c r="CP35" s="9">
        <f t="shared" si="4"/>
        <v>0.2679491924311227</v>
      </c>
      <c r="CQ35" s="9">
        <f t="shared" si="4"/>
        <v>0.2679491924311227</v>
      </c>
      <c r="CR35" s="9">
        <f t="shared" si="4"/>
        <v>0.2679491924311227</v>
      </c>
      <c r="CS35" s="9">
        <f t="shared" si="4"/>
        <v>0.2679491924311227</v>
      </c>
      <c r="CT35" s="9">
        <f t="shared" si="4"/>
        <v>0.2679491924311227</v>
      </c>
      <c r="CU35" s="9">
        <f t="shared" si="4"/>
        <v>0.2679491924311227</v>
      </c>
      <c r="CV35" s="9">
        <f t="shared" si="4"/>
        <v>0.2679491924311227</v>
      </c>
      <c r="CW35" s="9">
        <f t="shared" si="4"/>
        <v>0.2679491924311227</v>
      </c>
      <c r="CX35" s="9">
        <f t="shared" si="4"/>
        <v>0.2679491924311227</v>
      </c>
      <c r="CY35" s="9">
        <f t="shared" si="4"/>
        <v>0.2679491924311227</v>
      </c>
      <c r="DB35" s="17" t="s">
        <v>20</v>
      </c>
      <c r="DC35" s="9">
        <f>$C$20</f>
        <v>300</v>
      </c>
      <c r="DD35" s="9">
        <f>(DC35*$C$14-AO35)/($C$13-$C$14*BU35)</f>
        <v>215.10057131399284</v>
      </c>
      <c r="DE35" s="9">
        <f t="shared" ref="DE35:EG43" si="5">(DD35*$C$14-AP35)/($C$13-$C$14*BV35)</f>
        <v>196.33110409635489</v>
      </c>
      <c r="DF35" s="9">
        <f t="shared" si="5"/>
        <v>181.84227107984131</v>
      </c>
      <c r="DG35" s="9">
        <f t="shared" si="5"/>
        <v>167.94098629795187</v>
      </c>
      <c r="DH35" s="9">
        <f t="shared" si="5"/>
        <v>154.48718508409249</v>
      </c>
      <c r="DI35" s="9">
        <f t="shared" si="5"/>
        <v>141.56872063856258</v>
      </c>
      <c r="DJ35" s="9">
        <f t="shared" si="5"/>
        <v>129.27984065964512</v>
      </c>
      <c r="DK35" s="9">
        <f t="shared" si="5"/>
        <v>117.70525437366351</v>
      </c>
      <c r="DL35" s="9">
        <f t="shared" si="5"/>
        <v>106.91812542475368</v>
      </c>
      <c r="DM35" s="9">
        <f t="shared" si="5"/>
        <v>96.979288686424496</v>
      </c>
      <c r="DN35" s="9">
        <f t="shared" si="5"/>
        <v>87.936847665625564</v>
      </c>
      <c r="DO35" s="9">
        <f t="shared" si="5"/>
        <v>79.826080055664846</v>
      </c>
      <c r="DP35" s="9">
        <f t="shared" si="5"/>
        <v>72.66961875272176</v>
      </c>
      <c r="DQ35" s="9">
        <f t="shared" si="5"/>
        <v>66.477869859382906</v>
      </c>
      <c r="DR35" s="9">
        <f t="shared" si="5"/>
        <v>61.249623372386495</v>
      </c>
      <c r="DS35" s="9">
        <f t="shared" si="5"/>
        <v>56.972809476389827</v>
      </c>
      <c r="DT35" s="9">
        <f t="shared" si="5"/>
        <v>53.625353700177008</v>
      </c>
      <c r="DU35" s="9">
        <f t="shared" si="5"/>
        <v>51.17608728545023</v>
      </c>
      <c r="DV35" s="9">
        <f t="shared" si="5"/>
        <v>49.585674427839407</v>
      </c>
      <c r="DW35" s="9">
        <f t="shared" si="5"/>
        <v>48.807524911350981</v>
      </c>
      <c r="DX35" s="9">
        <f t="shared" si="5"/>
        <v>48.788668355715188</v>
      </c>
      <c r="DY35" s="9">
        <f t="shared" si="5"/>
        <v>49.470574131508904</v>
      </c>
      <c r="DZ35" s="9">
        <f t="shared" si="5"/>
        <v>50.789908348318569</v>
      </c>
      <c r="EA35" s="9">
        <f t="shared" si="5"/>
        <v>52.679225691039278</v>
      </c>
      <c r="EB35" s="9">
        <f t="shared" si="5"/>
        <v>55.067598933429423</v>
      </c>
      <c r="EC35" s="9">
        <f t="shared" si="5"/>
        <v>57.881192536716945</v>
      </c>
      <c r="ED35" s="9">
        <f t="shared" si="5"/>
        <v>61.04378885743165</v>
      </c>
      <c r="EE35" s="9">
        <f t="shared" si="5"/>
        <v>64.477276307953062</v>
      </c>
      <c r="EF35" s="9">
        <f t="shared" si="5"/>
        <v>68.102108618250625</v>
      </c>
      <c r="EG35" s="9">
        <f t="shared" si="5"/>
        <v>71.837743493341407</v>
      </c>
    </row>
    <row r="36" spans="6:137" x14ac:dyDescent="0.3">
      <c r="F36" s="17"/>
      <c r="G36" s="3">
        <v>300</v>
      </c>
      <c r="H36" s="2">
        <f>BV36*I36+DD36</f>
        <v>280.28451209215393</v>
      </c>
      <c r="I36" s="2">
        <f t="shared" si="2"/>
        <v>260.73576311264429</v>
      </c>
      <c r="J36" s="2">
        <f t="shared" si="2"/>
        <v>241.51747131108533</v>
      </c>
      <c r="K36" s="2">
        <f t="shared" si="2"/>
        <v>222.78741419664433</v>
      </c>
      <c r="L36" s="2">
        <f t="shared" si="2"/>
        <v>204.69470412190583</v>
      </c>
      <c r="M36" s="2">
        <f t="shared" si="2"/>
        <v>187.37734377748515</v>
      </c>
      <c r="N36" s="2">
        <f t="shared" si="2"/>
        <v>170.96013071462002</v>
      </c>
      <c r="O36" s="2">
        <f t="shared" si="2"/>
        <v>155.55296157926739</v>
      </c>
      <c r="P36" s="2">
        <f t="shared" si="2"/>
        <v>141.24956633387424</v>
      </c>
      <c r="Q36" s="2">
        <f t="shared" si="2"/>
        <v>128.1266817759153</v>
      </c>
      <c r="R36" s="2">
        <f t="shared" si="2"/>
        <v>116.24365353369214</v>
      </c>
      <c r="S36" s="2">
        <f t="shared" si="2"/>
        <v>105.64243769963892</v>
      </c>
      <c r="T36" s="2">
        <f t="shared" si="2"/>
        <v>96.347958393682063</v>
      </c>
      <c r="U36" s="2">
        <f t="shared" si="2"/>
        <v>88.36876657893616</v>
      </c>
      <c r="V36" s="2">
        <f t="shared" si="2"/>
        <v>81.697938780615601</v>
      </c>
      <c r="W36" s="2">
        <f t="shared" si="2"/>
        <v>76.314152032704584</v>
      </c>
      <c r="X36" s="2">
        <f t="shared" si="2"/>
        <v>72.182873106760809</v>
      </c>
      <c r="Y36" s="2">
        <f t="shared" si="2"/>
        <v>69.257605287816176</v>
      </c>
      <c r="Z36" s="2">
        <f t="shared" si="2"/>
        <v>67.481143862801005</v>
      </c>
      <c r="AA36" s="2">
        <f t="shared" si="2"/>
        <v>66.786801156572579</v>
      </c>
      <c r="AB36" s="2">
        <f t="shared" si="2"/>
        <v>67.099572430483221</v>
      </c>
      <c r="AC36" s="2">
        <f t="shared" si="2"/>
        <v>68.337224339554268</v>
      </c>
      <c r="AD36" s="2">
        <f t="shared" si="2"/>
        <v>70.411297145055244</v>
      </c>
      <c r="AE36" s="2">
        <f t="shared" si="2"/>
        <v>73.228019904484043</v>
      </c>
      <c r="AF36" s="2">
        <f t="shared" si="2"/>
        <v>76.6891440388532</v>
      </c>
      <c r="AG36" s="2">
        <f t="shared" si="2"/>
        <v>80.6927048715837</v>
      </c>
      <c r="AH36" s="2">
        <f t="shared" si="2"/>
        <v>85.133723031206898</v>
      </c>
      <c r="AI36" s="2">
        <f>CW36*AJ36+EE36</f>
        <v>89.904858287519005</v>
      </c>
      <c r="AJ36" s="2">
        <f>CX36*AK36+EF36</f>
        <v>94.897027861362886</v>
      </c>
      <c r="AK36" s="2">
        <v>100</v>
      </c>
      <c r="AM36" s="17"/>
      <c r="AN36" s="9">
        <f t="shared" ref="AN36:AO65" si="6">-($B$9*$B$8*G4)/$B$6</f>
        <v>-2483999999.9999995</v>
      </c>
      <c r="AO36" s="9">
        <f>-($B$9*$B$8*H4)/$B$6</f>
        <v>-2320065460.9597211</v>
      </c>
      <c r="AP36" s="9">
        <f t="shared" ref="AP36:AP65" si="7">-($B$9*$B$8*I4)/$B$6</f>
        <v>-2157524025.855979</v>
      </c>
      <c r="AQ36" s="9">
        <f t="shared" ref="AQ36:AQ65" si="8">-($B$9*$B$8*J4)/$B$6</f>
        <v>-1997743370.8511176</v>
      </c>
      <c r="AR36" s="9">
        <f t="shared" ref="AR36:AR65" si="9">-($B$9*$B$8*K4)/$B$6</f>
        <v>-1842041172.8038464</v>
      </c>
      <c r="AS36" s="9">
        <f t="shared" ref="AS36:AS65" si="10">-($B$9*$B$8*L4)/$B$6</f>
        <v>-1691662202.2458639</v>
      </c>
      <c r="AT36" s="9">
        <f t="shared" ref="AT36:AT65" si="11">-($B$9*$B$8*M4)/$B$6</f>
        <v>-1547757796.7319367</v>
      </c>
      <c r="AU36" s="9">
        <f t="shared" ref="AU36:AU65" si="12">-($B$9*$B$8*N4)/$B$6</f>
        <v>-1411368300.4571517</v>
      </c>
      <c r="AV36" s="9">
        <f t="shared" ref="AV36:AV65" si="13">-($B$9*$B$8*O4)/$B$6</f>
        <v>-1283408897.9719014</v>
      </c>
      <c r="AW36" s="9">
        <f t="shared" ref="AW36:AW65" si="14">-($B$9*$B$8*P4)/$B$6</f>
        <v>-1164659094.9985008</v>
      </c>
      <c r="AX36" s="9">
        <f t="shared" ref="AX36:AX65" si="15">-($B$9*$B$8*Q4)/$B$6</f>
        <v>-1055755919.9574324</v>
      </c>
      <c r="AY36" s="9">
        <f t="shared" ref="AY36:AY65" si="16">-($B$9*$B$8*R4)/$B$6</f>
        <v>-957190747.88914692</v>
      </c>
      <c r="AZ36" s="9">
        <f t="shared" ref="AZ36:AZ65" si="17">-($B$9*$B$8*S4)/$B$6</f>
        <v>-869309494.92669106</v>
      </c>
      <c r="BA36" s="9">
        <f t="shared" ref="BA36:BA65" si="18">-($B$9*$B$8*T4)/$B$6</f>
        <v>-792315805.28607392</v>
      </c>
      <c r="BB36" s="9">
        <f t="shared" ref="BB36:BB65" si="19">-($B$9*$B$8*U4)/$B$6</f>
        <v>-726276760.24559021</v>
      </c>
      <c r="BC36" s="9">
        <f t="shared" ref="BC36:BC65" si="20">-($B$9*$B$8*V4)/$B$6</f>
        <v>-671130583.15480161</v>
      </c>
      <c r="BD36" s="9">
        <f t="shared" ref="BD36:BD65" si="21">-($B$9*$B$8*W4)/$B$6</f>
        <v>-626695796.44784951</v>
      </c>
      <c r="BE36" s="9">
        <f t="shared" ref="BE36:BE65" si="22">-($B$9*$B$8*X4)/$B$6</f>
        <v>-592681303.34100282</v>
      </c>
      <c r="BF36" s="9">
        <f t="shared" ref="BF36:BF65" si="23">-($B$9*$B$8*Y4)/$B$6</f>
        <v>-568696913.31224978</v>
      </c>
      <c r="BG36" s="9">
        <f t="shared" ref="BG36:BG65" si="24">-($B$9*$B$8*Z4)/$B$6</f>
        <v>-554263899.68821502</v>
      </c>
      <c r="BH36" s="9">
        <f t="shared" ref="BH36:BH65" si="25">-($B$9*$B$8*AA4)/$B$6</f>
        <v>-548825261.69864511</v>
      </c>
      <c r="BI36" s="9">
        <f t="shared" ref="BI36:BI65" si="26">-($B$9*$B$8*AB4)/$B$6</f>
        <v>-551755453.89483678</v>
      </c>
      <c r="BJ36" s="9">
        <f t="shared" ref="BJ36:BJ65" si="27">-($B$9*$B$8*AC4)/$B$6</f>
        <v>-562369435.02028942</v>
      </c>
      <c r="BK36" s="9">
        <f t="shared" ref="BK36:BK65" si="28">-($B$9*$B$8*AD4)/$B$6</f>
        <v>-579930969.55179608</v>
      </c>
      <c r="BL36" s="9">
        <f t="shared" ref="BL36:BL65" si="29">-($B$9*$B$8*AE4)/$B$6</f>
        <v>-603660183.11687446</v>
      </c>
      <c r="BM36" s="9">
        <f t="shared" ref="BM36:BM65" si="30">-($B$9*$B$8*AF4)/$B$6</f>
        <v>-632740424.71048832</v>
      </c>
      <c r="BN36" s="9">
        <f t="shared" ref="BN36:BN65" si="31">-($B$9*$B$8*AG4)/$B$6</f>
        <v>-666324523.0033772</v>
      </c>
      <c r="BO36" s="9">
        <f t="shared" ref="BO36:BO65" si="32">-($B$9*$B$8*AH4)/$B$6</f>
        <v>-703540541.91810083</v>
      </c>
      <c r="BP36" s="9">
        <f t="shared" ref="BP36:BP65" si="33">-($B$9*$B$8*AI4)/$B$6</f>
        <v>-743497144.54607558</v>
      </c>
      <c r="BQ36" s="9">
        <f t="shared" ref="BQ36:BQ65" si="34">-($B$9*$B$8*AJ4)/$B$6</f>
        <v>-785288668.07384062</v>
      </c>
      <c r="BR36" s="9">
        <f t="shared" ref="BR36:BR65" si="35">-($B$9*$B$8*AK4)/$B$6</f>
        <v>-827999999.99999988</v>
      </c>
      <c r="BT36" s="17"/>
      <c r="BU36" s="9">
        <v>0</v>
      </c>
      <c r="BV36" s="9">
        <f t="shared" ref="BV36:CY36" si="36">$C$12/($C$13-BU36*$C$14)</f>
        <v>0.25</v>
      </c>
      <c r="BW36" s="9">
        <f t="shared" si="36"/>
        <v>0.26666666666666666</v>
      </c>
      <c r="BX36" s="9">
        <f t="shared" si="36"/>
        <v>0.26785714285714285</v>
      </c>
      <c r="BY36" s="9">
        <f t="shared" si="36"/>
        <v>0.26794258373205743</v>
      </c>
      <c r="BZ36" s="9">
        <f t="shared" si="36"/>
        <v>0.26794871794871794</v>
      </c>
      <c r="CA36" s="9">
        <f t="shared" si="36"/>
        <v>0.26794915836482308</v>
      </c>
      <c r="CB36" s="9">
        <f t="shared" si="36"/>
        <v>0.26794918998527245</v>
      </c>
      <c r="CC36" s="9">
        <f t="shared" si="36"/>
        <v>0.26794919225551855</v>
      </c>
      <c r="CD36" s="9">
        <f t="shared" si="36"/>
        <v>0.26794919241851489</v>
      </c>
      <c r="CE36" s="9">
        <f t="shared" si="36"/>
        <v>0.26794919243021753</v>
      </c>
      <c r="CF36" s="9">
        <f t="shared" si="36"/>
        <v>0.26794919243105775</v>
      </c>
      <c r="CG36" s="9">
        <f t="shared" si="36"/>
        <v>0.26794919243111803</v>
      </c>
      <c r="CH36" s="9">
        <f t="shared" si="36"/>
        <v>0.26794919243112236</v>
      </c>
      <c r="CI36" s="9">
        <f t="shared" si="36"/>
        <v>0.2679491924311227</v>
      </c>
      <c r="CJ36" s="9">
        <f t="shared" si="36"/>
        <v>0.2679491924311227</v>
      </c>
      <c r="CK36" s="9">
        <f t="shared" si="36"/>
        <v>0.2679491924311227</v>
      </c>
      <c r="CL36" s="9">
        <f t="shared" si="36"/>
        <v>0.2679491924311227</v>
      </c>
      <c r="CM36" s="9">
        <f t="shared" si="36"/>
        <v>0.2679491924311227</v>
      </c>
      <c r="CN36" s="9">
        <f t="shared" si="36"/>
        <v>0.2679491924311227</v>
      </c>
      <c r="CO36" s="9">
        <f t="shared" si="36"/>
        <v>0.2679491924311227</v>
      </c>
      <c r="CP36" s="9">
        <f t="shared" si="36"/>
        <v>0.2679491924311227</v>
      </c>
      <c r="CQ36" s="9">
        <f t="shared" si="36"/>
        <v>0.2679491924311227</v>
      </c>
      <c r="CR36" s="9">
        <f t="shared" si="36"/>
        <v>0.2679491924311227</v>
      </c>
      <c r="CS36" s="9">
        <f t="shared" si="36"/>
        <v>0.2679491924311227</v>
      </c>
      <c r="CT36" s="9">
        <f t="shared" si="36"/>
        <v>0.2679491924311227</v>
      </c>
      <c r="CU36" s="9">
        <f t="shared" si="36"/>
        <v>0.2679491924311227</v>
      </c>
      <c r="CV36" s="9">
        <f t="shared" si="36"/>
        <v>0.2679491924311227</v>
      </c>
      <c r="CW36" s="9">
        <f t="shared" si="36"/>
        <v>0.2679491924311227</v>
      </c>
      <c r="CX36" s="9">
        <f t="shared" si="36"/>
        <v>0.2679491924311227</v>
      </c>
      <c r="CY36" s="9">
        <f t="shared" si="36"/>
        <v>0.2679491924311227</v>
      </c>
      <c r="DB36" s="17"/>
      <c r="DC36" s="9">
        <f t="shared" ref="DC36:DC65" si="37">$C$20</f>
        <v>300</v>
      </c>
      <c r="DD36" s="9">
        <f t="shared" ref="DD36:DD65" si="38">(DC36*$C$14-AO36)/($C$13-$C$14*BU36)</f>
        <v>215.10057131399284</v>
      </c>
      <c r="DE36" s="9">
        <f t="shared" si="5"/>
        <v>196.33110409635489</v>
      </c>
      <c r="DF36" s="9">
        <f t="shared" si="5"/>
        <v>181.84227107984131</v>
      </c>
      <c r="DG36" s="9">
        <f t="shared" si="5"/>
        <v>167.94098629795187</v>
      </c>
      <c r="DH36" s="9">
        <f t="shared" si="5"/>
        <v>154.48718508409249</v>
      </c>
      <c r="DI36" s="9">
        <f t="shared" si="5"/>
        <v>141.56872063856258</v>
      </c>
      <c r="DJ36" s="9">
        <f t="shared" si="5"/>
        <v>129.27984065964512</v>
      </c>
      <c r="DK36" s="9">
        <f t="shared" si="5"/>
        <v>117.70525437366351</v>
      </c>
      <c r="DL36" s="9">
        <f t="shared" si="5"/>
        <v>106.91812542475368</v>
      </c>
      <c r="DM36" s="9">
        <f t="shared" si="5"/>
        <v>96.979288686424496</v>
      </c>
      <c r="DN36" s="9">
        <f t="shared" si="5"/>
        <v>87.936847665625564</v>
      </c>
      <c r="DO36" s="9">
        <f t="shared" si="5"/>
        <v>79.826080055664846</v>
      </c>
      <c r="DP36" s="9">
        <f t="shared" si="5"/>
        <v>72.66961875272176</v>
      </c>
      <c r="DQ36" s="9">
        <f t="shared" si="5"/>
        <v>66.477869859382906</v>
      </c>
      <c r="DR36" s="9">
        <f t="shared" si="5"/>
        <v>61.249623372386495</v>
      </c>
      <c r="DS36" s="9">
        <f t="shared" si="5"/>
        <v>56.972809476389827</v>
      </c>
      <c r="DT36" s="9">
        <f t="shared" si="5"/>
        <v>53.625353700177008</v>
      </c>
      <c r="DU36" s="9">
        <f t="shared" si="5"/>
        <v>51.17608728545023</v>
      </c>
      <c r="DV36" s="9">
        <f t="shared" si="5"/>
        <v>49.585674427839407</v>
      </c>
      <c r="DW36" s="9">
        <f t="shared" si="5"/>
        <v>48.807524911350981</v>
      </c>
      <c r="DX36" s="9">
        <f t="shared" si="5"/>
        <v>48.788668355715188</v>
      </c>
      <c r="DY36" s="9">
        <f t="shared" si="5"/>
        <v>49.470574131508904</v>
      </c>
      <c r="DZ36" s="9">
        <f t="shared" si="5"/>
        <v>50.789908348318569</v>
      </c>
      <c r="EA36" s="9">
        <f t="shared" si="5"/>
        <v>52.679225691039278</v>
      </c>
      <c r="EB36" s="9">
        <f t="shared" si="5"/>
        <v>55.067598933429423</v>
      </c>
      <c r="EC36" s="9">
        <f t="shared" si="5"/>
        <v>57.881192536716945</v>
      </c>
      <c r="ED36" s="9">
        <f t="shared" si="5"/>
        <v>61.04378885743165</v>
      </c>
      <c r="EE36" s="9">
        <f t="shared" si="5"/>
        <v>64.477276307953062</v>
      </c>
      <c r="EF36" s="9">
        <f t="shared" si="5"/>
        <v>68.102108618250625</v>
      </c>
      <c r="EG36" s="9">
        <f t="shared" si="5"/>
        <v>71.837743493341407</v>
      </c>
    </row>
    <row r="37" spans="6:137" x14ac:dyDescent="0.3">
      <c r="F37" s="17"/>
      <c r="G37" s="3">
        <v>300</v>
      </c>
      <c r="H37" s="2">
        <f t="shared" si="2"/>
        <v>280.28451209215393</v>
      </c>
      <c r="I37" s="2">
        <f t="shared" si="2"/>
        <v>260.73576311264429</v>
      </c>
      <c r="J37" s="2">
        <f t="shared" si="2"/>
        <v>241.51747131108533</v>
      </c>
      <c r="K37" s="2">
        <f t="shared" si="2"/>
        <v>222.78741419664433</v>
      </c>
      <c r="L37" s="2">
        <f t="shared" si="2"/>
        <v>204.69470412190583</v>
      </c>
      <c r="M37" s="2">
        <f t="shared" si="2"/>
        <v>187.37734377748515</v>
      </c>
      <c r="N37" s="2">
        <f t="shared" si="2"/>
        <v>170.96013071462002</v>
      </c>
      <c r="O37" s="2">
        <f t="shared" si="2"/>
        <v>155.55296157926739</v>
      </c>
      <c r="P37" s="2">
        <f t="shared" si="2"/>
        <v>141.24956633387424</v>
      </c>
      <c r="Q37" s="2">
        <f t="shared" si="2"/>
        <v>128.1266817759153</v>
      </c>
      <c r="R37" s="2">
        <f t="shared" si="2"/>
        <v>116.24365353369214</v>
      </c>
      <c r="S37" s="2">
        <f t="shared" si="2"/>
        <v>105.64243769963892</v>
      </c>
      <c r="T37" s="2">
        <f t="shared" si="2"/>
        <v>96.347958393682063</v>
      </c>
      <c r="U37" s="2">
        <f t="shared" si="2"/>
        <v>88.36876657893616</v>
      </c>
      <c r="V37" s="2">
        <f t="shared" si="2"/>
        <v>81.697938780615601</v>
      </c>
      <c r="W37" s="2">
        <f t="shared" si="2"/>
        <v>76.314152032704584</v>
      </c>
      <c r="X37" s="2">
        <f t="shared" si="2"/>
        <v>72.182873106760809</v>
      </c>
      <c r="Y37" s="2">
        <f t="shared" si="2"/>
        <v>69.257605287816176</v>
      </c>
      <c r="Z37" s="2">
        <f t="shared" si="2"/>
        <v>67.481143862801005</v>
      </c>
      <c r="AA37" s="2">
        <f t="shared" si="2"/>
        <v>66.786801156572579</v>
      </c>
      <c r="AB37" s="2">
        <f t="shared" si="2"/>
        <v>67.099572430483221</v>
      </c>
      <c r="AC37" s="2">
        <f t="shared" si="2"/>
        <v>68.337224339554268</v>
      </c>
      <c r="AD37" s="2">
        <f t="shared" si="2"/>
        <v>70.411297145055244</v>
      </c>
      <c r="AE37" s="2">
        <f t="shared" si="2"/>
        <v>73.228019904484043</v>
      </c>
      <c r="AF37" s="2">
        <f t="shared" si="2"/>
        <v>76.6891440388532</v>
      </c>
      <c r="AG37" s="2">
        <f t="shared" si="2"/>
        <v>80.6927048715837</v>
      </c>
      <c r="AH37" s="2">
        <f t="shared" si="2"/>
        <v>85.133723031206898</v>
      </c>
      <c r="AI37" s="2">
        <f t="shared" si="2"/>
        <v>89.904858287519005</v>
      </c>
      <c r="AJ37" s="2">
        <f t="shared" ref="AJ36:AJ65" si="39">CX37*AK37+EF37</f>
        <v>94.897027861362886</v>
      </c>
      <c r="AK37" s="2">
        <v>100</v>
      </c>
      <c r="AM37" s="17"/>
      <c r="AN37" s="9">
        <f t="shared" si="6"/>
        <v>-2483999999.9999995</v>
      </c>
      <c r="AO37" s="9">
        <f t="shared" si="6"/>
        <v>-2320065460.9597211</v>
      </c>
      <c r="AP37" s="9">
        <f t="shared" si="7"/>
        <v>-2157524025.855979</v>
      </c>
      <c r="AQ37" s="9">
        <f t="shared" si="8"/>
        <v>-1997743370.8511176</v>
      </c>
      <c r="AR37" s="9">
        <f t="shared" si="9"/>
        <v>-1842041172.8038464</v>
      </c>
      <c r="AS37" s="9">
        <f t="shared" si="10"/>
        <v>-1691662202.2458639</v>
      </c>
      <c r="AT37" s="9">
        <f t="shared" si="11"/>
        <v>-1547757796.7319367</v>
      </c>
      <c r="AU37" s="9">
        <f t="shared" si="12"/>
        <v>-1411368300.4571517</v>
      </c>
      <c r="AV37" s="9">
        <f t="shared" si="13"/>
        <v>-1283408897.9719014</v>
      </c>
      <c r="AW37" s="9">
        <f t="shared" si="14"/>
        <v>-1164659094.9985008</v>
      </c>
      <c r="AX37" s="9">
        <f t="shared" si="15"/>
        <v>-1055755919.9574324</v>
      </c>
      <c r="AY37" s="9">
        <f t="shared" si="16"/>
        <v>-957190747.88914692</v>
      </c>
      <c r="AZ37" s="9">
        <f t="shared" si="17"/>
        <v>-869309494.92669106</v>
      </c>
      <c r="BA37" s="9">
        <f t="shared" si="18"/>
        <v>-792315805.28607392</v>
      </c>
      <c r="BB37" s="9">
        <f t="shared" si="19"/>
        <v>-726276760.24559021</v>
      </c>
      <c r="BC37" s="9">
        <f t="shared" si="20"/>
        <v>-671130583.15480161</v>
      </c>
      <c r="BD37" s="9">
        <f t="shared" si="21"/>
        <v>-626695796.44784951</v>
      </c>
      <c r="BE37" s="9">
        <f t="shared" si="22"/>
        <v>-592681303.34100282</v>
      </c>
      <c r="BF37" s="9">
        <f t="shared" si="23"/>
        <v>-568696913.31224978</v>
      </c>
      <c r="BG37" s="9">
        <f t="shared" si="24"/>
        <v>-554263899.68821502</v>
      </c>
      <c r="BH37" s="9">
        <f t="shared" si="25"/>
        <v>-548825261.69864511</v>
      </c>
      <c r="BI37" s="9">
        <f t="shared" si="26"/>
        <v>-551755453.89483678</v>
      </c>
      <c r="BJ37" s="9">
        <f t="shared" si="27"/>
        <v>-562369435.02028942</v>
      </c>
      <c r="BK37" s="9">
        <f t="shared" si="28"/>
        <v>-579930969.55179608</v>
      </c>
      <c r="BL37" s="9">
        <f t="shared" si="29"/>
        <v>-603660183.11687446</v>
      </c>
      <c r="BM37" s="9">
        <f t="shared" si="30"/>
        <v>-632740424.71048832</v>
      </c>
      <c r="BN37" s="9">
        <f t="shared" si="31"/>
        <v>-666324523.0033772</v>
      </c>
      <c r="BO37" s="9">
        <f t="shared" si="32"/>
        <v>-703540541.91810083</v>
      </c>
      <c r="BP37" s="9">
        <f t="shared" si="33"/>
        <v>-743497144.54607558</v>
      </c>
      <c r="BQ37" s="9">
        <f t="shared" si="34"/>
        <v>-785288668.07384062</v>
      </c>
      <c r="BR37" s="9">
        <f t="shared" si="35"/>
        <v>-827999999.99999988</v>
      </c>
      <c r="BT37" s="17"/>
      <c r="BU37" s="9">
        <v>0</v>
      </c>
      <c r="BV37" s="9">
        <f t="shared" ref="BV37:CY37" si="40">$C$12/($C$13-BU37*$C$14)</f>
        <v>0.25</v>
      </c>
      <c r="BW37" s="9">
        <f t="shared" si="40"/>
        <v>0.26666666666666666</v>
      </c>
      <c r="BX37" s="9">
        <f t="shared" si="40"/>
        <v>0.26785714285714285</v>
      </c>
      <c r="BY37" s="9">
        <f t="shared" si="40"/>
        <v>0.26794258373205743</v>
      </c>
      <c r="BZ37" s="9">
        <f t="shared" si="40"/>
        <v>0.26794871794871794</v>
      </c>
      <c r="CA37" s="9">
        <f t="shared" si="40"/>
        <v>0.26794915836482308</v>
      </c>
      <c r="CB37" s="9">
        <f t="shared" si="40"/>
        <v>0.26794918998527245</v>
      </c>
      <c r="CC37" s="9">
        <f t="shared" si="40"/>
        <v>0.26794919225551855</v>
      </c>
      <c r="CD37" s="9">
        <f t="shared" si="40"/>
        <v>0.26794919241851489</v>
      </c>
      <c r="CE37" s="9">
        <f t="shared" si="40"/>
        <v>0.26794919243021753</v>
      </c>
      <c r="CF37" s="9">
        <f t="shared" si="40"/>
        <v>0.26794919243105775</v>
      </c>
      <c r="CG37" s="9">
        <f t="shared" si="40"/>
        <v>0.26794919243111803</v>
      </c>
      <c r="CH37" s="9">
        <f t="shared" si="40"/>
        <v>0.26794919243112236</v>
      </c>
      <c r="CI37" s="9">
        <f t="shared" si="40"/>
        <v>0.2679491924311227</v>
      </c>
      <c r="CJ37" s="9">
        <f t="shared" si="40"/>
        <v>0.2679491924311227</v>
      </c>
      <c r="CK37" s="9">
        <f t="shared" si="40"/>
        <v>0.2679491924311227</v>
      </c>
      <c r="CL37" s="9">
        <f t="shared" si="40"/>
        <v>0.2679491924311227</v>
      </c>
      <c r="CM37" s="9">
        <f t="shared" si="40"/>
        <v>0.2679491924311227</v>
      </c>
      <c r="CN37" s="9">
        <f t="shared" si="40"/>
        <v>0.2679491924311227</v>
      </c>
      <c r="CO37" s="9">
        <f t="shared" si="40"/>
        <v>0.2679491924311227</v>
      </c>
      <c r="CP37" s="9">
        <f t="shared" si="40"/>
        <v>0.2679491924311227</v>
      </c>
      <c r="CQ37" s="9">
        <f t="shared" si="40"/>
        <v>0.2679491924311227</v>
      </c>
      <c r="CR37" s="9">
        <f t="shared" si="40"/>
        <v>0.2679491924311227</v>
      </c>
      <c r="CS37" s="9">
        <f t="shared" si="40"/>
        <v>0.2679491924311227</v>
      </c>
      <c r="CT37" s="9">
        <f t="shared" si="40"/>
        <v>0.2679491924311227</v>
      </c>
      <c r="CU37" s="9">
        <f t="shared" si="40"/>
        <v>0.2679491924311227</v>
      </c>
      <c r="CV37" s="9">
        <f t="shared" si="40"/>
        <v>0.2679491924311227</v>
      </c>
      <c r="CW37" s="9">
        <f t="shared" si="40"/>
        <v>0.2679491924311227</v>
      </c>
      <c r="CX37" s="9">
        <f t="shared" si="40"/>
        <v>0.2679491924311227</v>
      </c>
      <c r="CY37" s="9">
        <f t="shared" si="40"/>
        <v>0.2679491924311227</v>
      </c>
      <c r="DB37" s="17"/>
      <c r="DC37" s="9">
        <f t="shared" si="37"/>
        <v>300</v>
      </c>
      <c r="DD37" s="9">
        <f t="shared" si="38"/>
        <v>215.10057131399284</v>
      </c>
      <c r="DE37" s="9">
        <f t="shared" si="5"/>
        <v>196.33110409635489</v>
      </c>
      <c r="DF37" s="9">
        <f t="shared" si="5"/>
        <v>181.84227107984131</v>
      </c>
      <c r="DG37" s="9">
        <f t="shared" si="5"/>
        <v>167.94098629795187</v>
      </c>
      <c r="DH37" s="9">
        <f t="shared" si="5"/>
        <v>154.48718508409249</v>
      </c>
      <c r="DI37" s="9">
        <f t="shared" si="5"/>
        <v>141.56872063856258</v>
      </c>
      <c r="DJ37" s="9">
        <f t="shared" si="5"/>
        <v>129.27984065964512</v>
      </c>
      <c r="DK37" s="9">
        <f t="shared" si="5"/>
        <v>117.70525437366351</v>
      </c>
      <c r="DL37" s="9">
        <f t="shared" si="5"/>
        <v>106.91812542475368</v>
      </c>
      <c r="DM37" s="9">
        <f t="shared" si="5"/>
        <v>96.979288686424496</v>
      </c>
      <c r="DN37" s="9">
        <f t="shared" si="5"/>
        <v>87.936847665625564</v>
      </c>
      <c r="DO37" s="9">
        <f t="shared" si="5"/>
        <v>79.826080055664846</v>
      </c>
      <c r="DP37" s="9">
        <f t="shared" si="5"/>
        <v>72.66961875272176</v>
      </c>
      <c r="DQ37" s="9">
        <f t="shared" si="5"/>
        <v>66.477869859382906</v>
      </c>
      <c r="DR37" s="9">
        <f t="shared" si="5"/>
        <v>61.249623372386495</v>
      </c>
      <c r="DS37" s="9">
        <f t="shared" si="5"/>
        <v>56.972809476389827</v>
      </c>
      <c r="DT37" s="9">
        <f t="shared" si="5"/>
        <v>53.625353700177008</v>
      </c>
      <c r="DU37" s="9">
        <f t="shared" si="5"/>
        <v>51.17608728545023</v>
      </c>
      <c r="DV37" s="9">
        <f t="shared" si="5"/>
        <v>49.585674427839407</v>
      </c>
      <c r="DW37" s="9">
        <f t="shared" si="5"/>
        <v>48.807524911350981</v>
      </c>
      <c r="DX37" s="9">
        <f t="shared" si="5"/>
        <v>48.788668355715188</v>
      </c>
      <c r="DY37" s="9">
        <f t="shared" si="5"/>
        <v>49.470574131508904</v>
      </c>
      <c r="DZ37" s="9">
        <f t="shared" si="5"/>
        <v>50.789908348318569</v>
      </c>
      <c r="EA37" s="9">
        <f t="shared" si="5"/>
        <v>52.679225691039278</v>
      </c>
      <c r="EB37" s="9">
        <f t="shared" si="5"/>
        <v>55.067598933429423</v>
      </c>
      <c r="EC37" s="9">
        <f t="shared" si="5"/>
        <v>57.881192536716945</v>
      </c>
      <c r="ED37" s="9">
        <f t="shared" si="5"/>
        <v>61.04378885743165</v>
      </c>
      <c r="EE37" s="9">
        <f t="shared" si="5"/>
        <v>64.477276307953062</v>
      </c>
      <c r="EF37" s="9">
        <f t="shared" si="5"/>
        <v>68.102108618250625</v>
      </c>
      <c r="EG37" s="9">
        <f t="shared" si="5"/>
        <v>71.837743493341407</v>
      </c>
    </row>
    <row r="38" spans="6:137" x14ac:dyDescent="0.3">
      <c r="F38" s="17"/>
      <c r="G38" s="3">
        <v>300</v>
      </c>
      <c r="H38" s="2">
        <f t="shared" si="2"/>
        <v>280.28451209215393</v>
      </c>
      <c r="I38" s="2">
        <f t="shared" si="2"/>
        <v>260.73576311264429</v>
      </c>
      <c r="J38" s="2">
        <f t="shared" si="2"/>
        <v>241.51747131108533</v>
      </c>
      <c r="K38" s="2">
        <f t="shared" si="2"/>
        <v>222.78741419664433</v>
      </c>
      <c r="L38" s="2">
        <f t="shared" si="2"/>
        <v>204.69470412190583</v>
      </c>
      <c r="M38" s="2">
        <f t="shared" si="2"/>
        <v>187.37734377748515</v>
      </c>
      <c r="N38" s="2">
        <f t="shared" si="2"/>
        <v>170.96013071462002</v>
      </c>
      <c r="O38" s="2">
        <f t="shared" si="2"/>
        <v>155.55296157926739</v>
      </c>
      <c r="P38" s="2">
        <f t="shared" si="2"/>
        <v>141.24956633387424</v>
      </c>
      <c r="Q38" s="2">
        <f t="shared" si="2"/>
        <v>128.1266817759153</v>
      </c>
      <c r="R38" s="2">
        <f t="shared" si="2"/>
        <v>116.24365353369214</v>
      </c>
      <c r="S38" s="2">
        <f t="shared" si="2"/>
        <v>105.64243769963892</v>
      </c>
      <c r="T38" s="2">
        <f t="shared" si="2"/>
        <v>96.347958393682063</v>
      </c>
      <c r="U38" s="2">
        <f t="shared" si="2"/>
        <v>88.36876657893616</v>
      </c>
      <c r="V38" s="2">
        <f t="shared" si="2"/>
        <v>81.697938780615601</v>
      </c>
      <c r="W38" s="2">
        <f t="shared" si="2"/>
        <v>76.314152032704584</v>
      </c>
      <c r="X38" s="2">
        <f t="shared" si="2"/>
        <v>72.182873106760809</v>
      </c>
      <c r="Y38" s="2">
        <f t="shared" si="2"/>
        <v>69.257605287816176</v>
      </c>
      <c r="Z38" s="2">
        <f t="shared" si="2"/>
        <v>67.481143862801005</v>
      </c>
      <c r="AA38" s="2">
        <f t="shared" si="2"/>
        <v>66.786801156572579</v>
      </c>
      <c r="AB38" s="2">
        <f t="shared" si="2"/>
        <v>67.099572430483221</v>
      </c>
      <c r="AC38" s="2">
        <f t="shared" si="2"/>
        <v>68.337224339554268</v>
      </c>
      <c r="AD38" s="2">
        <f t="shared" si="2"/>
        <v>70.411297145055244</v>
      </c>
      <c r="AE38" s="2">
        <f t="shared" si="2"/>
        <v>73.228019904484043</v>
      </c>
      <c r="AF38" s="2">
        <f t="shared" si="2"/>
        <v>76.6891440388532</v>
      </c>
      <c r="AG38" s="2">
        <f t="shared" si="2"/>
        <v>80.6927048715837</v>
      </c>
      <c r="AH38" s="2">
        <f t="shared" si="2"/>
        <v>85.133723031206898</v>
      </c>
      <c r="AI38" s="2">
        <f t="shared" si="2"/>
        <v>89.904858287519005</v>
      </c>
      <c r="AJ38" s="2">
        <f t="shared" si="39"/>
        <v>94.897027861362886</v>
      </c>
      <c r="AK38" s="2">
        <v>100</v>
      </c>
      <c r="AM38" s="17"/>
      <c r="AN38" s="9">
        <f t="shared" si="6"/>
        <v>-2483999999.9999995</v>
      </c>
      <c r="AO38" s="9">
        <f t="shared" si="6"/>
        <v>-2320065460.9597211</v>
      </c>
      <c r="AP38" s="9">
        <f t="shared" si="7"/>
        <v>-2157524025.855979</v>
      </c>
      <c r="AQ38" s="9">
        <f t="shared" si="8"/>
        <v>-1997743370.8511176</v>
      </c>
      <c r="AR38" s="9">
        <f t="shared" si="9"/>
        <v>-1842041172.8038464</v>
      </c>
      <c r="AS38" s="9">
        <f t="shared" si="10"/>
        <v>-1691662202.2458639</v>
      </c>
      <c r="AT38" s="9">
        <f t="shared" si="11"/>
        <v>-1547757796.7319367</v>
      </c>
      <c r="AU38" s="9">
        <f t="shared" si="12"/>
        <v>-1411368300.4571517</v>
      </c>
      <c r="AV38" s="9">
        <f t="shared" si="13"/>
        <v>-1283408897.9719014</v>
      </c>
      <c r="AW38" s="9">
        <f t="shared" si="14"/>
        <v>-1164659094.9985008</v>
      </c>
      <c r="AX38" s="9">
        <f t="shared" si="15"/>
        <v>-1055755919.9574324</v>
      </c>
      <c r="AY38" s="9">
        <f t="shared" si="16"/>
        <v>-957190747.88914692</v>
      </c>
      <c r="AZ38" s="9">
        <f t="shared" si="17"/>
        <v>-869309494.92669106</v>
      </c>
      <c r="BA38" s="9">
        <f t="shared" si="18"/>
        <v>-792315805.28607392</v>
      </c>
      <c r="BB38" s="9">
        <f t="shared" si="19"/>
        <v>-726276760.24559021</v>
      </c>
      <c r="BC38" s="9">
        <f t="shared" si="20"/>
        <v>-671130583.15480161</v>
      </c>
      <c r="BD38" s="9">
        <f t="shared" si="21"/>
        <v>-626695796.44784951</v>
      </c>
      <c r="BE38" s="9">
        <f t="shared" si="22"/>
        <v>-592681303.34100282</v>
      </c>
      <c r="BF38" s="9">
        <f t="shared" si="23"/>
        <v>-568696913.31224978</v>
      </c>
      <c r="BG38" s="9">
        <f t="shared" si="24"/>
        <v>-554263899.68821502</v>
      </c>
      <c r="BH38" s="9">
        <f t="shared" si="25"/>
        <v>-548825261.69864511</v>
      </c>
      <c r="BI38" s="9">
        <f t="shared" si="26"/>
        <v>-551755453.89483678</v>
      </c>
      <c r="BJ38" s="9">
        <f t="shared" si="27"/>
        <v>-562369435.02028942</v>
      </c>
      <c r="BK38" s="9">
        <f t="shared" si="28"/>
        <v>-579930969.55179608</v>
      </c>
      <c r="BL38" s="9">
        <f t="shared" si="29"/>
        <v>-603660183.11687446</v>
      </c>
      <c r="BM38" s="9">
        <f t="shared" si="30"/>
        <v>-632740424.71048832</v>
      </c>
      <c r="BN38" s="9">
        <f t="shared" si="31"/>
        <v>-666324523.0033772</v>
      </c>
      <c r="BO38" s="9">
        <f t="shared" si="32"/>
        <v>-703540541.91810083</v>
      </c>
      <c r="BP38" s="9">
        <f t="shared" si="33"/>
        <v>-743497144.54607558</v>
      </c>
      <c r="BQ38" s="9">
        <f t="shared" si="34"/>
        <v>-785288668.07384062</v>
      </c>
      <c r="BR38" s="9">
        <f t="shared" si="35"/>
        <v>-827999999.99999988</v>
      </c>
      <c r="BT38" s="17"/>
      <c r="BU38" s="9">
        <v>0</v>
      </c>
      <c r="BV38" s="9">
        <f t="shared" ref="BV38:CY38" si="41">$C$12/($C$13-BU38*$C$14)</f>
        <v>0.25</v>
      </c>
      <c r="BW38" s="9">
        <f t="shared" si="41"/>
        <v>0.26666666666666666</v>
      </c>
      <c r="BX38" s="9">
        <f t="shared" si="41"/>
        <v>0.26785714285714285</v>
      </c>
      <c r="BY38" s="9">
        <f t="shared" si="41"/>
        <v>0.26794258373205743</v>
      </c>
      <c r="BZ38" s="9">
        <f t="shared" si="41"/>
        <v>0.26794871794871794</v>
      </c>
      <c r="CA38" s="9">
        <f t="shared" si="41"/>
        <v>0.26794915836482308</v>
      </c>
      <c r="CB38" s="9">
        <f t="shared" si="41"/>
        <v>0.26794918998527245</v>
      </c>
      <c r="CC38" s="9">
        <f t="shared" si="41"/>
        <v>0.26794919225551855</v>
      </c>
      <c r="CD38" s="9">
        <f t="shared" si="41"/>
        <v>0.26794919241851489</v>
      </c>
      <c r="CE38" s="9">
        <f t="shared" si="41"/>
        <v>0.26794919243021753</v>
      </c>
      <c r="CF38" s="9">
        <f t="shared" si="41"/>
        <v>0.26794919243105775</v>
      </c>
      <c r="CG38" s="9">
        <f t="shared" si="41"/>
        <v>0.26794919243111803</v>
      </c>
      <c r="CH38" s="9">
        <f t="shared" si="41"/>
        <v>0.26794919243112236</v>
      </c>
      <c r="CI38" s="9">
        <f t="shared" si="41"/>
        <v>0.2679491924311227</v>
      </c>
      <c r="CJ38" s="9">
        <f t="shared" si="41"/>
        <v>0.2679491924311227</v>
      </c>
      <c r="CK38" s="9">
        <f t="shared" si="41"/>
        <v>0.2679491924311227</v>
      </c>
      <c r="CL38" s="9">
        <f t="shared" si="41"/>
        <v>0.2679491924311227</v>
      </c>
      <c r="CM38" s="9">
        <f t="shared" si="41"/>
        <v>0.2679491924311227</v>
      </c>
      <c r="CN38" s="9">
        <f t="shared" si="41"/>
        <v>0.2679491924311227</v>
      </c>
      <c r="CO38" s="9">
        <f t="shared" si="41"/>
        <v>0.2679491924311227</v>
      </c>
      <c r="CP38" s="9">
        <f t="shared" si="41"/>
        <v>0.2679491924311227</v>
      </c>
      <c r="CQ38" s="9">
        <f t="shared" si="41"/>
        <v>0.2679491924311227</v>
      </c>
      <c r="CR38" s="9">
        <f t="shared" si="41"/>
        <v>0.2679491924311227</v>
      </c>
      <c r="CS38" s="9">
        <f t="shared" si="41"/>
        <v>0.2679491924311227</v>
      </c>
      <c r="CT38" s="9">
        <f t="shared" si="41"/>
        <v>0.2679491924311227</v>
      </c>
      <c r="CU38" s="9">
        <f t="shared" si="41"/>
        <v>0.2679491924311227</v>
      </c>
      <c r="CV38" s="9">
        <f t="shared" si="41"/>
        <v>0.2679491924311227</v>
      </c>
      <c r="CW38" s="9">
        <f t="shared" si="41"/>
        <v>0.2679491924311227</v>
      </c>
      <c r="CX38" s="9">
        <f t="shared" si="41"/>
        <v>0.2679491924311227</v>
      </c>
      <c r="CY38" s="9">
        <f t="shared" si="41"/>
        <v>0.2679491924311227</v>
      </c>
      <c r="DB38" s="17"/>
      <c r="DC38" s="9">
        <f t="shared" si="37"/>
        <v>300</v>
      </c>
      <c r="DD38" s="9">
        <f t="shared" si="38"/>
        <v>215.10057131399284</v>
      </c>
      <c r="DE38" s="9">
        <f t="shared" si="5"/>
        <v>196.33110409635489</v>
      </c>
      <c r="DF38" s="9">
        <f t="shared" si="5"/>
        <v>181.84227107984131</v>
      </c>
      <c r="DG38" s="9">
        <f t="shared" si="5"/>
        <v>167.94098629795187</v>
      </c>
      <c r="DH38" s="9">
        <f t="shared" si="5"/>
        <v>154.48718508409249</v>
      </c>
      <c r="DI38" s="9">
        <f t="shared" si="5"/>
        <v>141.56872063856258</v>
      </c>
      <c r="DJ38" s="9">
        <f t="shared" si="5"/>
        <v>129.27984065964512</v>
      </c>
      <c r="DK38" s="9">
        <f t="shared" si="5"/>
        <v>117.70525437366351</v>
      </c>
      <c r="DL38" s="9">
        <f t="shared" si="5"/>
        <v>106.91812542475368</v>
      </c>
      <c r="DM38" s="9">
        <f t="shared" si="5"/>
        <v>96.979288686424496</v>
      </c>
      <c r="DN38" s="9">
        <f t="shared" si="5"/>
        <v>87.936847665625564</v>
      </c>
      <c r="DO38" s="9">
        <f t="shared" si="5"/>
        <v>79.826080055664846</v>
      </c>
      <c r="DP38" s="9">
        <f t="shared" si="5"/>
        <v>72.66961875272176</v>
      </c>
      <c r="DQ38" s="9">
        <f t="shared" si="5"/>
        <v>66.477869859382906</v>
      </c>
      <c r="DR38" s="9">
        <f t="shared" si="5"/>
        <v>61.249623372386495</v>
      </c>
      <c r="DS38" s="9">
        <f t="shared" si="5"/>
        <v>56.972809476389827</v>
      </c>
      <c r="DT38" s="9">
        <f t="shared" si="5"/>
        <v>53.625353700177008</v>
      </c>
      <c r="DU38" s="9">
        <f t="shared" si="5"/>
        <v>51.17608728545023</v>
      </c>
      <c r="DV38" s="9">
        <f t="shared" si="5"/>
        <v>49.585674427839407</v>
      </c>
      <c r="DW38" s="9">
        <f t="shared" si="5"/>
        <v>48.807524911350981</v>
      </c>
      <c r="DX38" s="9">
        <f t="shared" si="5"/>
        <v>48.788668355715188</v>
      </c>
      <c r="DY38" s="9">
        <f t="shared" si="5"/>
        <v>49.470574131508904</v>
      </c>
      <c r="DZ38" s="9">
        <f t="shared" si="5"/>
        <v>50.789908348318569</v>
      </c>
      <c r="EA38" s="9">
        <f t="shared" si="5"/>
        <v>52.679225691039278</v>
      </c>
      <c r="EB38" s="9">
        <f t="shared" si="5"/>
        <v>55.067598933429423</v>
      </c>
      <c r="EC38" s="9">
        <f t="shared" si="5"/>
        <v>57.881192536716945</v>
      </c>
      <c r="ED38" s="9">
        <f t="shared" si="5"/>
        <v>61.04378885743165</v>
      </c>
      <c r="EE38" s="9">
        <f t="shared" si="5"/>
        <v>64.477276307953062</v>
      </c>
      <c r="EF38" s="9">
        <f t="shared" si="5"/>
        <v>68.102108618250625</v>
      </c>
      <c r="EG38" s="9">
        <f t="shared" si="5"/>
        <v>71.837743493341407</v>
      </c>
    </row>
    <row r="39" spans="6:137" x14ac:dyDescent="0.3">
      <c r="F39" s="17"/>
      <c r="G39" s="3">
        <v>300</v>
      </c>
      <c r="H39" s="2">
        <f t="shared" si="2"/>
        <v>280.28451209215393</v>
      </c>
      <c r="I39" s="2">
        <f t="shared" si="2"/>
        <v>260.73576311264429</v>
      </c>
      <c r="J39" s="2">
        <f t="shared" si="2"/>
        <v>241.51747131108533</v>
      </c>
      <c r="K39" s="2">
        <f t="shared" si="2"/>
        <v>222.78741419664433</v>
      </c>
      <c r="L39" s="2">
        <f t="shared" si="2"/>
        <v>204.69470412190583</v>
      </c>
      <c r="M39" s="2">
        <f t="shared" si="2"/>
        <v>187.37734377748515</v>
      </c>
      <c r="N39" s="2">
        <f t="shared" si="2"/>
        <v>170.96013071462002</v>
      </c>
      <c r="O39" s="2">
        <f t="shared" si="2"/>
        <v>155.55296157926739</v>
      </c>
      <c r="P39" s="2">
        <f t="shared" si="2"/>
        <v>141.24956633387424</v>
      </c>
      <c r="Q39" s="2">
        <f t="shared" si="2"/>
        <v>128.1266817759153</v>
      </c>
      <c r="R39" s="2">
        <f t="shared" si="2"/>
        <v>116.24365353369214</v>
      </c>
      <c r="S39" s="2">
        <f t="shared" si="2"/>
        <v>105.64243769963892</v>
      </c>
      <c r="T39" s="2">
        <f t="shared" si="2"/>
        <v>96.347958393682063</v>
      </c>
      <c r="U39" s="2">
        <f t="shared" si="2"/>
        <v>88.36876657893616</v>
      </c>
      <c r="V39" s="2">
        <f t="shared" si="2"/>
        <v>81.697938780615601</v>
      </c>
      <c r="W39" s="2">
        <f t="shared" si="2"/>
        <v>76.314152032704584</v>
      </c>
      <c r="X39" s="2">
        <f t="shared" si="2"/>
        <v>72.182873106760809</v>
      </c>
      <c r="Y39" s="2">
        <f t="shared" si="2"/>
        <v>69.257605287816176</v>
      </c>
      <c r="Z39" s="2">
        <f t="shared" si="2"/>
        <v>67.481143862801005</v>
      </c>
      <c r="AA39" s="2">
        <f t="shared" si="2"/>
        <v>66.786801156572579</v>
      </c>
      <c r="AB39" s="2">
        <f t="shared" si="2"/>
        <v>67.099572430483221</v>
      </c>
      <c r="AC39" s="2">
        <f t="shared" si="2"/>
        <v>68.337224339554268</v>
      </c>
      <c r="AD39" s="2">
        <f t="shared" si="2"/>
        <v>70.411297145055244</v>
      </c>
      <c r="AE39" s="2">
        <f t="shared" si="2"/>
        <v>73.228019904484043</v>
      </c>
      <c r="AF39" s="2">
        <f t="shared" si="2"/>
        <v>76.6891440388532</v>
      </c>
      <c r="AG39" s="2">
        <f t="shared" si="2"/>
        <v>80.6927048715837</v>
      </c>
      <c r="AH39" s="2">
        <f t="shared" si="2"/>
        <v>85.133723031206898</v>
      </c>
      <c r="AI39" s="2">
        <f t="shared" si="2"/>
        <v>89.904858287519005</v>
      </c>
      <c r="AJ39" s="2">
        <f t="shared" si="39"/>
        <v>94.897027861362886</v>
      </c>
      <c r="AK39" s="2">
        <v>100</v>
      </c>
      <c r="AM39" s="17"/>
      <c r="AN39" s="9">
        <f t="shared" si="6"/>
        <v>-2483999999.9999995</v>
      </c>
      <c r="AO39" s="9">
        <f t="shared" si="6"/>
        <v>-2320065460.9597211</v>
      </c>
      <c r="AP39" s="9">
        <f t="shared" si="7"/>
        <v>-2157524025.855979</v>
      </c>
      <c r="AQ39" s="9">
        <f t="shared" si="8"/>
        <v>-1997743370.8511176</v>
      </c>
      <c r="AR39" s="9">
        <f t="shared" si="9"/>
        <v>-1842041172.8038464</v>
      </c>
      <c r="AS39" s="9">
        <f t="shared" si="10"/>
        <v>-1691662202.2458639</v>
      </c>
      <c r="AT39" s="9">
        <f t="shared" si="11"/>
        <v>-1547757796.7319367</v>
      </c>
      <c r="AU39" s="9">
        <f t="shared" si="12"/>
        <v>-1411368300.4571517</v>
      </c>
      <c r="AV39" s="9">
        <f t="shared" si="13"/>
        <v>-1283408897.9719014</v>
      </c>
      <c r="AW39" s="9">
        <f t="shared" si="14"/>
        <v>-1164659094.9985008</v>
      </c>
      <c r="AX39" s="9">
        <f t="shared" si="15"/>
        <v>-1055755919.9574324</v>
      </c>
      <c r="AY39" s="9">
        <f t="shared" si="16"/>
        <v>-957190747.88914692</v>
      </c>
      <c r="AZ39" s="9">
        <f t="shared" si="17"/>
        <v>-869309494.92669106</v>
      </c>
      <c r="BA39" s="9">
        <f t="shared" si="18"/>
        <v>-792315805.28607392</v>
      </c>
      <c r="BB39" s="9">
        <f t="shared" si="19"/>
        <v>-726276760.24559021</v>
      </c>
      <c r="BC39" s="9">
        <f t="shared" si="20"/>
        <v>-671130583.15480161</v>
      </c>
      <c r="BD39" s="9">
        <f t="shared" si="21"/>
        <v>-626695796.44784951</v>
      </c>
      <c r="BE39" s="9">
        <f t="shared" si="22"/>
        <v>-592681303.34100282</v>
      </c>
      <c r="BF39" s="9">
        <f t="shared" si="23"/>
        <v>-568696913.31224978</v>
      </c>
      <c r="BG39" s="9">
        <f t="shared" si="24"/>
        <v>-554263899.68821502</v>
      </c>
      <c r="BH39" s="9">
        <f t="shared" si="25"/>
        <v>-548825261.69864511</v>
      </c>
      <c r="BI39" s="9">
        <f t="shared" si="26"/>
        <v>-551755453.89483678</v>
      </c>
      <c r="BJ39" s="9">
        <f t="shared" si="27"/>
        <v>-562369435.02028942</v>
      </c>
      <c r="BK39" s="9">
        <f t="shared" si="28"/>
        <v>-579930969.55179608</v>
      </c>
      <c r="BL39" s="9">
        <f t="shared" si="29"/>
        <v>-603660183.11687446</v>
      </c>
      <c r="BM39" s="9">
        <f t="shared" si="30"/>
        <v>-632740424.71048832</v>
      </c>
      <c r="BN39" s="9">
        <f t="shared" si="31"/>
        <v>-666324523.0033772</v>
      </c>
      <c r="BO39" s="9">
        <f t="shared" si="32"/>
        <v>-703540541.91810083</v>
      </c>
      <c r="BP39" s="9">
        <f t="shared" si="33"/>
        <v>-743497144.54607558</v>
      </c>
      <c r="BQ39" s="9">
        <f t="shared" si="34"/>
        <v>-785288668.07384062</v>
      </c>
      <c r="BR39" s="9">
        <f t="shared" si="35"/>
        <v>-827999999.99999988</v>
      </c>
      <c r="BT39" s="17"/>
      <c r="BU39" s="9">
        <v>0</v>
      </c>
      <c r="BV39" s="9">
        <f t="shared" ref="BV39:CY39" si="42">$C$12/($C$13-BU39*$C$14)</f>
        <v>0.25</v>
      </c>
      <c r="BW39" s="9">
        <f t="shared" si="42"/>
        <v>0.26666666666666666</v>
      </c>
      <c r="BX39" s="9">
        <f t="shared" si="42"/>
        <v>0.26785714285714285</v>
      </c>
      <c r="BY39" s="9">
        <f t="shared" si="42"/>
        <v>0.26794258373205743</v>
      </c>
      <c r="BZ39" s="9">
        <f t="shared" si="42"/>
        <v>0.26794871794871794</v>
      </c>
      <c r="CA39" s="9">
        <f t="shared" si="42"/>
        <v>0.26794915836482308</v>
      </c>
      <c r="CB39" s="9">
        <f t="shared" si="42"/>
        <v>0.26794918998527245</v>
      </c>
      <c r="CC39" s="9">
        <f t="shared" si="42"/>
        <v>0.26794919225551855</v>
      </c>
      <c r="CD39" s="9">
        <f t="shared" si="42"/>
        <v>0.26794919241851489</v>
      </c>
      <c r="CE39" s="9">
        <f t="shared" si="42"/>
        <v>0.26794919243021753</v>
      </c>
      <c r="CF39" s="9">
        <f t="shared" si="42"/>
        <v>0.26794919243105775</v>
      </c>
      <c r="CG39" s="9">
        <f t="shared" si="42"/>
        <v>0.26794919243111803</v>
      </c>
      <c r="CH39" s="9">
        <f t="shared" si="42"/>
        <v>0.26794919243112236</v>
      </c>
      <c r="CI39" s="9">
        <f t="shared" si="42"/>
        <v>0.2679491924311227</v>
      </c>
      <c r="CJ39" s="9">
        <f t="shared" si="42"/>
        <v>0.2679491924311227</v>
      </c>
      <c r="CK39" s="9">
        <f t="shared" si="42"/>
        <v>0.2679491924311227</v>
      </c>
      <c r="CL39" s="9">
        <f t="shared" si="42"/>
        <v>0.2679491924311227</v>
      </c>
      <c r="CM39" s="9">
        <f t="shared" si="42"/>
        <v>0.2679491924311227</v>
      </c>
      <c r="CN39" s="9">
        <f t="shared" si="42"/>
        <v>0.2679491924311227</v>
      </c>
      <c r="CO39" s="9">
        <f t="shared" si="42"/>
        <v>0.2679491924311227</v>
      </c>
      <c r="CP39" s="9">
        <f t="shared" si="42"/>
        <v>0.2679491924311227</v>
      </c>
      <c r="CQ39" s="9">
        <f t="shared" si="42"/>
        <v>0.2679491924311227</v>
      </c>
      <c r="CR39" s="9">
        <f t="shared" si="42"/>
        <v>0.2679491924311227</v>
      </c>
      <c r="CS39" s="9">
        <f t="shared" si="42"/>
        <v>0.2679491924311227</v>
      </c>
      <c r="CT39" s="9">
        <f t="shared" si="42"/>
        <v>0.2679491924311227</v>
      </c>
      <c r="CU39" s="9">
        <f t="shared" si="42"/>
        <v>0.2679491924311227</v>
      </c>
      <c r="CV39" s="9">
        <f t="shared" si="42"/>
        <v>0.2679491924311227</v>
      </c>
      <c r="CW39" s="9">
        <f t="shared" si="42"/>
        <v>0.2679491924311227</v>
      </c>
      <c r="CX39" s="9">
        <f t="shared" si="42"/>
        <v>0.2679491924311227</v>
      </c>
      <c r="CY39" s="9">
        <f t="shared" si="42"/>
        <v>0.2679491924311227</v>
      </c>
      <c r="DB39" s="17"/>
      <c r="DC39" s="9">
        <f t="shared" si="37"/>
        <v>300</v>
      </c>
      <c r="DD39" s="9">
        <f t="shared" si="38"/>
        <v>215.10057131399284</v>
      </c>
      <c r="DE39" s="9">
        <f t="shared" si="5"/>
        <v>196.33110409635489</v>
      </c>
      <c r="DF39" s="9">
        <f t="shared" si="5"/>
        <v>181.84227107984131</v>
      </c>
      <c r="DG39" s="9">
        <f t="shared" si="5"/>
        <v>167.94098629795187</v>
      </c>
      <c r="DH39" s="9">
        <f t="shared" si="5"/>
        <v>154.48718508409249</v>
      </c>
      <c r="DI39" s="9">
        <f t="shared" si="5"/>
        <v>141.56872063856258</v>
      </c>
      <c r="DJ39" s="9">
        <f t="shared" si="5"/>
        <v>129.27984065964512</v>
      </c>
      <c r="DK39" s="9">
        <f t="shared" si="5"/>
        <v>117.70525437366351</v>
      </c>
      <c r="DL39" s="9">
        <f t="shared" si="5"/>
        <v>106.91812542475368</v>
      </c>
      <c r="DM39" s="9">
        <f t="shared" si="5"/>
        <v>96.979288686424496</v>
      </c>
      <c r="DN39" s="9">
        <f t="shared" si="5"/>
        <v>87.936847665625564</v>
      </c>
      <c r="DO39" s="9">
        <f t="shared" si="5"/>
        <v>79.826080055664846</v>
      </c>
      <c r="DP39" s="9">
        <f t="shared" si="5"/>
        <v>72.66961875272176</v>
      </c>
      <c r="DQ39" s="9">
        <f t="shared" si="5"/>
        <v>66.477869859382906</v>
      </c>
      <c r="DR39" s="9">
        <f t="shared" si="5"/>
        <v>61.249623372386495</v>
      </c>
      <c r="DS39" s="9">
        <f t="shared" si="5"/>
        <v>56.972809476389827</v>
      </c>
      <c r="DT39" s="9">
        <f t="shared" si="5"/>
        <v>53.625353700177008</v>
      </c>
      <c r="DU39" s="9">
        <f t="shared" si="5"/>
        <v>51.17608728545023</v>
      </c>
      <c r="DV39" s="9">
        <f t="shared" si="5"/>
        <v>49.585674427839407</v>
      </c>
      <c r="DW39" s="9">
        <f t="shared" si="5"/>
        <v>48.807524911350981</v>
      </c>
      <c r="DX39" s="9">
        <f t="shared" si="5"/>
        <v>48.788668355715188</v>
      </c>
      <c r="DY39" s="9">
        <f t="shared" si="5"/>
        <v>49.470574131508904</v>
      </c>
      <c r="DZ39" s="9">
        <f t="shared" si="5"/>
        <v>50.789908348318569</v>
      </c>
      <c r="EA39" s="9">
        <f t="shared" si="5"/>
        <v>52.679225691039278</v>
      </c>
      <c r="EB39" s="9">
        <f t="shared" si="5"/>
        <v>55.067598933429423</v>
      </c>
      <c r="EC39" s="9">
        <f t="shared" si="5"/>
        <v>57.881192536716945</v>
      </c>
      <c r="ED39" s="9">
        <f t="shared" si="5"/>
        <v>61.04378885743165</v>
      </c>
      <c r="EE39" s="9">
        <f t="shared" si="5"/>
        <v>64.477276307953062</v>
      </c>
      <c r="EF39" s="9">
        <f t="shared" si="5"/>
        <v>68.102108618250625</v>
      </c>
      <c r="EG39" s="9">
        <f t="shared" si="5"/>
        <v>71.837743493341407</v>
      </c>
    </row>
    <row r="40" spans="6:137" x14ac:dyDescent="0.3">
      <c r="F40" s="17"/>
      <c r="G40" s="3">
        <v>300</v>
      </c>
      <c r="H40" s="2">
        <f t="shared" si="2"/>
        <v>280.28451209215393</v>
      </c>
      <c r="I40" s="2">
        <f t="shared" si="2"/>
        <v>260.73576311264429</v>
      </c>
      <c r="J40" s="2">
        <f t="shared" si="2"/>
        <v>241.51747131108533</v>
      </c>
      <c r="K40" s="2">
        <f t="shared" si="2"/>
        <v>222.78741419664433</v>
      </c>
      <c r="L40" s="2">
        <f t="shared" si="2"/>
        <v>204.69470412190583</v>
      </c>
      <c r="M40" s="2">
        <f t="shared" si="2"/>
        <v>187.37734377748515</v>
      </c>
      <c r="N40" s="2">
        <f t="shared" si="2"/>
        <v>170.96013071462002</v>
      </c>
      <c r="O40" s="2">
        <f t="shared" si="2"/>
        <v>155.55296157926739</v>
      </c>
      <c r="P40" s="2">
        <f t="shared" si="2"/>
        <v>141.24956633387424</v>
      </c>
      <c r="Q40" s="2">
        <f t="shared" si="2"/>
        <v>128.1266817759153</v>
      </c>
      <c r="R40" s="2">
        <f t="shared" si="2"/>
        <v>116.24365353369214</v>
      </c>
      <c r="S40" s="2">
        <f t="shared" si="2"/>
        <v>105.64243769963892</v>
      </c>
      <c r="T40" s="2">
        <f t="shared" si="2"/>
        <v>96.347958393682063</v>
      </c>
      <c r="U40" s="2">
        <f t="shared" si="2"/>
        <v>88.36876657893616</v>
      </c>
      <c r="V40" s="2">
        <f t="shared" si="2"/>
        <v>81.697938780615601</v>
      </c>
      <c r="W40" s="2">
        <f t="shared" si="2"/>
        <v>76.314152032704584</v>
      </c>
      <c r="X40" s="2">
        <f t="shared" si="2"/>
        <v>72.182873106760809</v>
      </c>
      <c r="Y40" s="2">
        <f t="shared" si="2"/>
        <v>69.257605287816176</v>
      </c>
      <c r="Z40" s="2">
        <f t="shared" si="2"/>
        <v>67.481143862801005</v>
      </c>
      <c r="AA40" s="2">
        <f t="shared" si="2"/>
        <v>66.786801156572579</v>
      </c>
      <c r="AB40" s="2">
        <f t="shared" si="2"/>
        <v>67.099572430483221</v>
      </c>
      <c r="AC40" s="2">
        <f t="shared" si="2"/>
        <v>68.337224339554268</v>
      </c>
      <c r="AD40" s="2">
        <f t="shared" si="2"/>
        <v>70.411297145055244</v>
      </c>
      <c r="AE40" s="2">
        <f t="shared" si="2"/>
        <v>73.228019904484043</v>
      </c>
      <c r="AF40" s="2">
        <f t="shared" si="2"/>
        <v>76.6891440388532</v>
      </c>
      <c r="AG40" s="2">
        <f t="shared" si="2"/>
        <v>80.6927048715837</v>
      </c>
      <c r="AH40" s="2">
        <f t="shared" si="2"/>
        <v>85.133723031206898</v>
      </c>
      <c r="AI40" s="2">
        <f t="shared" si="2"/>
        <v>89.904858287519005</v>
      </c>
      <c r="AJ40" s="2">
        <f t="shared" si="39"/>
        <v>94.897027861362886</v>
      </c>
      <c r="AK40" s="2">
        <v>100</v>
      </c>
      <c r="AM40" s="17"/>
      <c r="AN40" s="9">
        <f t="shared" si="6"/>
        <v>-2483999999.9999995</v>
      </c>
      <c r="AO40" s="9">
        <f t="shared" si="6"/>
        <v>-2320065460.9597211</v>
      </c>
      <c r="AP40" s="9">
        <f t="shared" si="7"/>
        <v>-2157524025.855979</v>
      </c>
      <c r="AQ40" s="9">
        <f t="shared" si="8"/>
        <v>-1997743370.8511176</v>
      </c>
      <c r="AR40" s="9">
        <f t="shared" si="9"/>
        <v>-1842041172.8038464</v>
      </c>
      <c r="AS40" s="9">
        <f t="shared" si="10"/>
        <v>-1691662202.2458639</v>
      </c>
      <c r="AT40" s="9">
        <f t="shared" si="11"/>
        <v>-1547757796.7319367</v>
      </c>
      <c r="AU40" s="9">
        <f t="shared" si="12"/>
        <v>-1411368300.4571517</v>
      </c>
      <c r="AV40" s="9">
        <f t="shared" si="13"/>
        <v>-1283408897.9719014</v>
      </c>
      <c r="AW40" s="9">
        <f t="shared" si="14"/>
        <v>-1164659094.9985008</v>
      </c>
      <c r="AX40" s="9">
        <f t="shared" si="15"/>
        <v>-1055755919.9574324</v>
      </c>
      <c r="AY40" s="9">
        <f t="shared" si="16"/>
        <v>-957190747.88914692</v>
      </c>
      <c r="AZ40" s="9">
        <f t="shared" si="17"/>
        <v>-869309494.92669106</v>
      </c>
      <c r="BA40" s="9">
        <f t="shared" si="18"/>
        <v>-792315805.28607392</v>
      </c>
      <c r="BB40" s="9">
        <f t="shared" si="19"/>
        <v>-726276760.24559021</v>
      </c>
      <c r="BC40" s="9">
        <f t="shared" si="20"/>
        <v>-671130583.15480161</v>
      </c>
      <c r="BD40" s="9">
        <f t="shared" si="21"/>
        <v>-626695796.44784951</v>
      </c>
      <c r="BE40" s="9">
        <f t="shared" si="22"/>
        <v>-592681303.34100282</v>
      </c>
      <c r="BF40" s="9">
        <f t="shared" si="23"/>
        <v>-568696913.31224978</v>
      </c>
      <c r="BG40" s="9">
        <f t="shared" si="24"/>
        <v>-554263899.68821502</v>
      </c>
      <c r="BH40" s="9">
        <f t="shared" si="25"/>
        <v>-548825261.69864511</v>
      </c>
      <c r="BI40" s="9">
        <f t="shared" si="26"/>
        <v>-551755453.89483678</v>
      </c>
      <c r="BJ40" s="9">
        <f t="shared" si="27"/>
        <v>-562369435.02028942</v>
      </c>
      <c r="BK40" s="9">
        <f t="shared" si="28"/>
        <v>-579930969.55179608</v>
      </c>
      <c r="BL40" s="9">
        <f t="shared" si="29"/>
        <v>-603660183.11687446</v>
      </c>
      <c r="BM40" s="9">
        <f t="shared" si="30"/>
        <v>-632740424.71048832</v>
      </c>
      <c r="BN40" s="9">
        <f t="shared" si="31"/>
        <v>-666324523.0033772</v>
      </c>
      <c r="BO40" s="9">
        <f t="shared" si="32"/>
        <v>-703540541.91810083</v>
      </c>
      <c r="BP40" s="9">
        <f t="shared" si="33"/>
        <v>-743497144.54607558</v>
      </c>
      <c r="BQ40" s="9">
        <f t="shared" si="34"/>
        <v>-785288668.07384062</v>
      </c>
      <c r="BR40" s="9">
        <f t="shared" si="35"/>
        <v>-827999999.99999988</v>
      </c>
      <c r="BT40" s="17"/>
      <c r="BU40" s="9">
        <v>0</v>
      </c>
      <c r="BV40" s="9">
        <f t="shared" ref="BV40:CY40" si="43">$C$12/($C$13-BU40*$C$14)</f>
        <v>0.25</v>
      </c>
      <c r="BW40" s="9">
        <f t="shared" si="43"/>
        <v>0.26666666666666666</v>
      </c>
      <c r="BX40" s="9">
        <f t="shared" si="43"/>
        <v>0.26785714285714285</v>
      </c>
      <c r="BY40" s="9">
        <f t="shared" si="43"/>
        <v>0.26794258373205743</v>
      </c>
      <c r="BZ40" s="9">
        <f t="shared" si="43"/>
        <v>0.26794871794871794</v>
      </c>
      <c r="CA40" s="9">
        <f t="shared" si="43"/>
        <v>0.26794915836482308</v>
      </c>
      <c r="CB40" s="9">
        <f t="shared" si="43"/>
        <v>0.26794918998527245</v>
      </c>
      <c r="CC40" s="9">
        <f t="shared" si="43"/>
        <v>0.26794919225551855</v>
      </c>
      <c r="CD40" s="9">
        <f t="shared" si="43"/>
        <v>0.26794919241851489</v>
      </c>
      <c r="CE40" s="9">
        <f t="shared" si="43"/>
        <v>0.26794919243021753</v>
      </c>
      <c r="CF40" s="9">
        <f t="shared" si="43"/>
        <v>0.26794919243105775</v>
      </c>
      <c r="CG40" s="9">
        <f t="shared" si="43"/>
        <v>0.26794919243111803</v>
      </c>
      <c r="CH40" s="9">
        <f t="shared" si="43"/>
        <v>0.26794919243112236</v>
      </c>
      <c r="CI40" s="9">
        <f t="shared" si="43"/>
        <v>0.2679491924311227</v>
      </c>
      <c r="CJ40" s="9">
        <f t="shared" si="43"/>
        <v>0.2679491924311227</v>
      </c>
      <c r="CK40" s="9">
        <f t="shared" si="43"/>
        <v>0.2679491924311227</v>
      </c>
      <c r="CL40" s="9">
        <f t="shared" si="43"/>
        <v>0.2679491924311227</v>
      </c>
      <c r="CM40" s="9">
        <f t="shared" si="43"/>
        <v>0.2679491924311227</v>
      </c>
      <c r="CN40" s="9">
        <f t="shared" si="43"/>
        <v>0.2679491924311227</v>
      </c>
      <c r="CO40" s="9">
        <f t="shared" si="43"/>
        <v>0.2679491924311227</v>
      </c>
      <c r="CP40" s="9">
        <f t="shared" si="43"/>
        <v>0.2679491924311227</v>
      </c>
      <c r="CQ40" s="9">
        <f t="shared" si="43"/>
        <v>0.2679491924311227</v>
      </c>
      <c r="CR40" s="9">
        <f t="shared" si="43"/>
        <v>0.2679491924311227</v>
      </c>
      <c r="CS40" s="9">
        <f t="shared" si="43"/>
        <v>0.2679491924311227</v>
      </c>
      <c r="CT40" s="9">
        <f t="shared" si="43"/>
        <v>0.2679491924311227</v>
      </c>
      <c r="CU40" s="9">
        <f t="shared" si="43"/>
        <v>0.2679491924311227</v>
      </c>
      <c r="CV40" s="9">
        <f t="shared" si="43"/>
        <v>0.2679491924311227</v>
      </c>
      <c r="CW40" s="9">
        <f t="shared" si="43"/>
        <v>0.2679491924311227</v>
      </c>
      <c r="CX40" s="9">
        <f t="shared" si="43"/>
        <v>0.2679491924311227</v>
      </c>
      <c r="CY40" s="9">
        <f t="shared" si="43"/>
        <v>0.2679491924311227</v>
      </c>
      <c r="DB40" s="17"/>
      <c r="DC40" s="9">
        <f t="shared" si="37"/>
        <v>300</v>
      </c>
      <c r="DD40" s="9">
        <f t="shared" si="38"/>
        <v>215.10057131399284</v>
      </c>
      <c r="DE40" s="9">
        <f t="shared" si="5"/>
        <v>196.33110409635489</v>
      </c>
      <c r="DF40" s="9">
        <f t="shared" si="5"/>
        <v>181.84227107984131</v>
      </c>
      <c r="DG40" s="9">
        <f t="shared" si="5"/>
        <v>167.94098629795187</v>
      </c>
      <c r="DH40" s="9">
        <f t="shared" si="5"/>
        <v>154.48718508409249</v>
      </c>
      <c r="DI40" s="9">
        <f t="shared" si="5"/>
        <v>141.56872063856258</v>
      </c>
      <c r="DJ40" s="9">
        <f t="shared" si="5"/>
        <v>129.27984065964512</v>
      </c>
      <c r="DK40" s="9">
        <f t="shared" si="5"/>
        <v>117.70525437366351</v>
      </c>
      <c r="DL40" s="9">
        <f t="shared" si="5"/>
        <v>106.91812542475368</v>
      </c>
      <c r="DM40" s="9">
        <f t="shared" si="5"/>
        <v>96.979288686424496</v>
      </c>
      <c r="DN40" s="9">
        <f t="shared" si="5"/>
        <v>87.936847665625564</v>
      </c>
      <c r="DO40" s="9">
        <f t="shared" si="5"/>
        <v>79.826080055664846</v>
      </c>
      <c r="DP40" s="9">
        <f t="shared" si="5"/>
        <v>72.66961875272176</v>
      </c>
      <c r="DQ40" s="9">
        <f t="shared" si="5"/>
        <v>66.477869859382906</v>
      </c>
      <c r="DR40" s="9">
        <f t="shared" si="5"/>
        <v>61.249623372386495</v>
      </c>
      <c r="DS40" s="9">
        <f t="shared" si="5"/>
        <v>56.972809476389827</v>
      </c>
      <c r="DT40" s="9">
        <f t="shared" si="5"/>
        <v>53.625353700177008</v>
      </c>
      <c r="DU40" s="9">
        <f t="shared" si="5"/>
        <v>51.17608728545023</v>
      </c>
      <c r="DV40" s="9">
        <f t="shared" si="5"/>
        <v>49.585674427839407</v>
      </c>
      <c r="DW40" s="9">
        <f t="shared" si="5"/>
        <v>48.807524911350981</v>
      </c>
      <c r="DX40" s="9">
        <f t="shared" si="5"/>
        <v>48.788668355715188</v>
      </c>
      <c r="DY40" s="9">
        <f t="shared" si="5"/>
        <v>49.470574131508904</v>
      </c>
      <c r="DZ40" s="9">
        <f t="shared" si="5"/>
        <v>50.789908348318569</v>
      </c>
      <c r="EA40" s="9">
        <f t="shared" si="5"/>
        <v>52.679225691039278</v>
      </c>
      <c r="EB40" s="9">
        <f t="shared" si="5"/>
        <v>55.067598933429423</v>
      </c>
      <c r="EC40" s="9">
        <f t="shared" si="5"/>
        <v>57.881192536716945</v>
      </c>
      <c r="ED40" s="9">
        <f t="shared" si="5"/>
        <v>61.04378885743165</v>
      </c>
      <c r="EE40" s="9">
        <f t="shared" si="5"/>
        <v>64.477276307953062</v>
      </c>
      <c r="EF40" s="9">
        <f t="shared" si="5"/>
        <v>68.102108618250625</v>
      </c>
      <c r="EG40" s="9">
        <f t="shared" si="5"/>
        <v>71.837743493341407</v>
      </c>
    </row>
    <row r="41" spans="6:137" x14ac:dyDescent="0.3">
      <c r="F41" s="17"/>
      <c r="G41" s="3">
        <v>300</v>
      </c>
      <c r="H41" s="2">
        <f t="shared" si="2"/>
        <v>280.28451209215393</v>
      </c>
      <c r="I41" s="2">
        <f t="shared" si="2"/>
        <v>260.73576311264429</v>
      </c>
      <c r="J41" s="2">
        <f t="shared" si="2"/>
        <v>241.51747131108533</v>
      </c>
      <c r="K41" s="2">
        <f t="shared" si="2"/>
        <v>222.78741419664433</v>
      </c>
      <c r="L41" s="2">
        <f t="shared" si="2"/>
        <v>204.69470412190583</v>
      </c>
      <c r="M41" s="2">
        <f t="shared" si="2"/>
        <v>187.37734377748515</v>
      </c>
      <c r="N41" s="2">
        <f t="shared" si="2"/>
        <v>170.96013071462002</v>
      </c>
      <c r="O41" s="2">
        <f t="shared" si="2"/>
        <v>155.55296157926739</v>
      </c>
      <c r="P41" s="2">
        <f t="shared" si="2"/>
        <v>141.24956633387424</v>
      </c>
      <c r="Q41" s="2">
        <f t="shared" si="2"/>
        <v>128.1266817759153</v>
      </c>
      <c r="R41" s="2">
        <f t="shared" si="2"/>
        <v>116.24365353369214</v>
      </c>
      <c r="S41" s="2">
        <f t="shared" si="2"/>
        <v>105.64243769963892</v>
      </c>
      <c r="T41" s="2">
        <f t="shared" si="2"/>
        <v>96.347958393682063</v>
      </c>
      <c r="U41" s="2">
        <f t="shared" si="2"/>
        <v>88.36876657893616</v>
      </c>
      <c r="V41" s="2">
        <f t="shared" si="2"/>
        <v>81.697938780615601</v>
      </c>
      <c r="W41" s="2">
        <f t="shared" si="2"/>
        <v>76.314152032704584</v>
      </c>
      <c r="X41" s="2">
        <f t="shared" si="2"/>
        <v>72.182873106760809</v>
      </c>
      <c r="Y41" s="2">
        <f t="shared" si="2"/>
        <v>69.257605287816176</v>
      </c>
      <c r="Z41" s="2">
        <f t="shared" si="2"/>
        <v>67.481143862801005</v>
      </c>
      <c r="AA41" s="2">
        <f t="shared" si="2"/>
        <v>66.786801156572579</v>
      </c>
      <c r="AB41" s="2">
        <f t="shared" si="2"/>
        <v>67.099572430483221</v>
      </c>
      <c r="AC41" s="2">
        <f t="shared" si="2"/>
        <v>68.337224339554268</v>
      </c>
      <c r="AD41" s="2">
        <f t="shared" si="2"/>
        <v>70.411297145055244</v>
      </c>
      <c r="AE41" s="2">
        <f t="shared" si="2"/>
        <v>73.228019904484043</v>
      </c>
      <c r="AF41" s="2">
        <f t="shared" si="2"/>
        <v>76.6891440388532</v>
      </c>
      <c r="AG41" s="2">
        <f t="shared" si="2"/>
        <v>80.6927048715837</v>
      </c>
      <c r="AH41" s="2">
        <f t="shared" si="2"/>
        <v>85.133723031206898</v>
      </c>
      <c r="AI41" s="2">
        <f t="shared" si="2"/>
        <v>89.904858287519005</v>
      </c>
      <c r="AJ41" s="2">
        <f t="shared" si="39"/>
        <v>94.897027861362886</v>
      </c>
      <c r="AK41" s="2">
        <v>100</v>
      </c>
      <c r="AM41" s="17"/>
      <c r="AN41" s="9">
        <f t="shared" si="6"/>
        <v>-2483999999.9999995</v>
      </c>
      <c r="AO41" s="9">
        <f t="shared" si="6"/>
        <v>-2320065460.9597211</v>
      </c>
      <c r="AP41" s="9">
        <f t="shared" si="7"/>
        <v>-2157524025.855979</v>
      </c>
      <c r="AQ41" s="9">
        <f t="shared" si="8"/>
        <v>-1997743370.8511176</v>
      </c>
      <c r="AR41" s="9">
        <f t="shared" si="9"/>
        <v>-1842041172.8038464</v>
      </c>
      <c r="AS41" s="9">
        <f t="shared" si="10"/>
        <v>-1691662202.2458639</v>
      </c>
      <c r="AT41" s="9">
        <f t="shared" si="11"/>
        <v>-1547757796.7319367</v>
      </c>
      <c r="AU41" s="9">
        <f t="shared" si="12"/>
        <v>-1411368300.4571517</v>
      </c>
      <c r="AV41" s="9">
        <f t="shared" si="13"/>
        <v>-1283408897.9719014</v>
      </c>
      <c r="AW41" s="9">
        <f t="shared" si="14"/>
        <v>-1164659094.9985008</v>
      </c>
      <c r="AX41" s="9">
        <f t="shared" si="15"/>
        <v>-1055755919.9574324</v>
      </c>
      <c r="AY41" s="9">
        <f t="shared" si="16"/>
        <v>-957190747.88914692</v>
      </c>
      <c r="AZ41" s="9">
        <f t="shared" si="17"/>
        <v>-869309494.92669106</v>
      </c>
      <c r="BA41" s="9">
        <f t="shared" si="18"/>
        <v>-792315805.28607392</v>
      </c>
      <c r="BB41" s="9">
        <f t="shared" si="19"/>
        <v>-726276760.24559021</v>
      </c>
      <c r="BC41" s="9">
        <f t="shared" si="20"/>
        <v>-671130583.15480161</v>
      </c>
      <c r="BD41" s="9">
        <f t="shared" si="21"/>
        <v>-626695796.44784951</v>
      </c>
      <c r="BE41" s="9">
        <f t="shared" si="22"/>
        <v>-592681303.34100282</v>
      </c>
      <c r="BF41" s="9">
        <f t="shared" si="23"/>
        <v>-568696913.31224978</v>
      </c>
      <c r="BG41" s="9">
        <f t="shared" si="24"/>
        <v>-554263899.68821502</v>
      </c>
      <c r="BH41" s="9">
        <f t="shared" si="25"/>
        <v>-548825261.69864511</v>
      </c>
      <c r="BI41" s="9">
        <f t="shared" si="26"/>
        <v>-551755453.89483678</v>
      </c>
      <c r="BJ41" s="9">
        <f t="shared" si="27"/>
        <v>-562369435.02028942</v>
      </c>
      <c r="BK41" s="9">
        <f t="shared" si="28"/>
        <v>-579930969.55179608</v>
      </c>
      <c r="BL41" s="9">
        <f t="shared" si="29"/>
        <v>-603660183.11687446</v>
      </c>
      <c r="BM41" s="9">
        <f t="shared" si="30"/>
        <v>-632740424.71048832</v>
      </c>
      <c r="BN41" s="9">
        <f t="shared" si="31"/>
        <v>-666324523.0033772</v>
      </c>
      <c r="BO41" s="9">
        <f t="shared" si="32"/>
        <v>-703540541.91810083</v>
      </c>
      <c r="BP41" s="9">
        <f t="shared" si="33"/>
        <v>-743497144.54607558</v>
      </c>
      <c r="BQ41" s="9">
        <f t="shared" si="34"/>
        <v>-785288668.07384062</v>
      </c>
      <c r="BR41" s="9">
        <f t="shared" si="35"/>
        <v>-827999999.99999988</v>
      </c>
      <c r="BT41" s="17"/>
      <c r="BU41" s="9">
        <v>0</v>
      </c>
      <c r="BV41" s="9">
        <f t="shared" ref="BV41:CY41" si="44">$C$12/($C$13-BU41*$C$14)</f>
        <v>0.25</v>
      </c>
      <c r="BW41" s="9">
        <f t="shared" si="44"/>
        <v>0.26666666666666666</v>
      </c>
      <c r="BX41" s="9">
        <f t="shared" si="44"/>
        <v>0.26785714285714285</v>
      </c>
      <c r="BY41" s="9">
        <f t="shared" si="44"/>
        <v>0.26794258373205743</v>
      </c>
      <c r="BZ41" s="9">
        <f t="shared" si="44"/>
        <v>0.26794871794871794</v>
      </c>
      <c r="CA41" s="9">
        <f t="shared" si="44"/>
        <v>0.26794915836482308</v>
      </c>
      <c r="CB41" s="9">
        <f t="shared" si="44"/>
        <v>0.26794918998527245</v>
      </c>
      <c r="CC41" s="9">
        <f t="shared" si="44"/>
        <v>0.26794919225551855</v>
      </c>
      <c r="CD41" s="9">
        <f t="shared" si="44"/>
        <v>0.26794919241851489</v>
      </c>
      <c r="CE41" s="9">
        <f t="shared" si="44"/>
        <v>0.26794919243021753</v>
      </c>
      <c r="CF41" s="9">
        <f t="shared" si="44"/>
        <v>0.26794919243105775</v>
      </c>
      <c r="CG41" s="9">
        <f t="shared" si="44"/>
        <v>0.26794919243111803</v>
      </c>
      <c r="CH41" s="9">
        <f t="shared" si="44"/>
        <v>0.26794919243112236</v>
      </c>
      <c r="CI41" s="9">
        <f t="shared" si="44"/>
        <v>0.2679491924311227</v>
      </c>
      <c r="CJ41" s="9">
        <f t="shared" si="44"/>
        <v>0.2679491924311227</v>
      </c>
      <c r="CK41" s="9">
        <f t="shared" si="44"/>
        <v>0.2679491924311227</v>
      </c>
      <c r="CL41" s="9">
        <f t="shared" si="44"/>
        <v>0.2679491924311227</v>
      </c>
      <c r="CM41" s="9">
        <f t="shared" si="44"/>
        <v>0.2679491924311227</v>
      </c>
      <c r="CN41" s="9">
        <f t="shared" si="44"/>
        <v>0.2679491924311227</v>
      </c>
      <c r="CO41" s="9">
        <f t="shared" si="44"/>
        <v>0.2679491924311227</v>
      </c>
      <c r="CP41" s="9">
        <f t="shared" si="44"/>
        <v>0.2679491924311227</v>
      </c>
      <c r="CQ41" s="9">
        <f t="shared" si="44"/>
        <v>0.2679491924311227</v>
      </c>
      <c r="CR41" s="9">
        <f t="shared" si="44"/>
        <v>0.2679491924311227</v>
      </c>
      <c r="CS41" s="9">
        <f t="shared" si="44"/>
        <v>0.2679491924311227</v>
      </c>
      <c r="CT41" s="9">
        <f t="shared" si="44"/>
        <v>0.2679491924311227</v>
      </c>
      <c r="CU41" s="9">
        <f t="shared" si="44"/>
        <v>0.2679491924311227</v>
      </c>
      <c r="CV41" s="9">
        <f t="shared" si="44"/>
        <v>0.2679491924311227</v>
      </c>
      <c r="CW41" s="9">
        <f t="shared" si="44"/>
        <v>0.2679491924311227</v>
      </c>
      <c r="CX41" s="9">
        <f t="shared" si="44"/>
        <v>0.2679491924311227</v>
      </c>
      <c r="CY41" s="9">
        <f t="shared" si="44"/>
        <v>0.2679491924311227</v>
      </c>
      <c r="DB41" s="17"/>
      <c r="DC41" s="9">
        <f t="shared" si="37"/>
        <v>300</v>
      </c>
      <c r="DD41" s="9">
        <f t="shared" si="38"/>
        <v>215.10057131399284</v>
      </c>
      <c r="DE41" s="9">
        <f t="shared" si="5"/>
        <v>196.33110409635489</v>
      </c>
      <c r="DF41" s="9">
        <f t="shared" si="5"/>
        <v>181.84227107984131</v>
      </c>
      <c r="DG41" s="9">
        <f t="shared" si="5"/>
        <v>167.94098629795187</v>
      </c>
      <c r="DH41" s="9">
        <f t="shared" si="5"/>
        <v>154.48718508409249</v>
      </c>
      <c r="DI41" s="9">
        <f t="shared" si="5"/>
        <v>141.56872063856258</v>
      </c>
      <c r="DJ41" s="9">
        <f t="shared" si="5"/>
        <v>129.27984065964512</v>
      </c>
      <c r="DK41" s="9">
        <f t="shared" si="5"/>
        <v>117.70525437366351</v>
      </c>
      <c r="DL41" s="9">
        <f t="shared" si="5"/>
        <v>106.91812542475368</v>
      </c>
      <c r="DM41" s="9">
        <f t="shared" si="5"/>
        <v>96.979288686424496</v>
      </c>
      <c r="DN41" s="9">
        <f t="shared" si="5"/>
        <v>87.936847665625564</v>
      </c>
      <c r="DO41" s="9">
        <f t="shared" si="5"/>
        <v>79.826080055664846</v>
      </c>
      <c r="DP41" s="9">
        <f t="shared" si="5"/>
        <v>72.66961875272176</v>
      </c>
      <c r="DQ41" s="9">
        <f t="shared" si="5"/>
        <v>66.477869859382906</v>
      </c>
      <c r="DR41" s="9">
        <f t="shared" si="5"/>
        <v>61.249623372386495</v>
      </c>
      <c r="DS41" s="9">
        <f t="shared" si="5"/>
        <v>56.972809476389827</v>
      </c>
      <c r="DT41" s="9">
        <f t="shared" si="5"/>
        <v>53.625353700177008</v>
      </c>
      <c r="DU41" s="9">
        <f t="shared" si="5"/>
        <v>51.17608728545023</v>
      </c>
      <c r="DV41" s="9">
        <f t="shared" si="5"/>
        <v>49.585674427839407</v>
      </c>
      <c r="DW41" s="9">
        <f t="shared" si="5"/>
        <v>48.807524911350981</v>
      </c>
      <c r="DX41" s="9">
        <f t="shared" si="5"/>
        <v>48.788668355715188</v>
      </c>
      <c r="DY41" s="9">
        <f t="shared" si="5"/>
        <v>49.470574131508904</v>
      </c>
      <c r="DZ41" s="9">
        <f t="shared" si="5"/>
        <v>50.789908348318569</v>
      </c>
      <c r="EA41" s="9">
        <f t="shared" si="5"/>
        <v>52.679225691039278</v>
      </c>
      <c r="EB41" s="9">
        <f t="shared" si="5"/>
        <v>55.067598933429423</v>
      </c>
      <c r="EC41" s="9">
        <f t="shared" si="5"/>
        <v>57.881192536716945</v>
      </c>
      <c r="ED41" s="9">
        <f t="shared" si="5"/>
        <v>61.04378885743165</v>
      </c>
      <c r="EE41" s="9">
        <f t="shared" si="5"/>
        <v>64.477276307953062</v>
      </c>
      <c r="EF41" s="9">
        <f t="shared" si="5"/>
        <v>68.102108618250625</v>
      </c>
      <c r="EG41" s="9">
        <f t="shared" si="5"/>
        <v>71.837743493341407</v>
      </c>
    </row>
    <row r="42" spans="6:137" x14ac:dyDescent="0.3">
      <c r="F42" s="17"/>
      <c r="G42" s="3">
        <v>300</v>
      </c>
      <c r="H42" s="2">
        <f t="shared" si="2"/>
        <v>280.28451209215393</v>
      </c>
      <c r="I42" s="2">
        <f t="shared" si="2"/>
        <v>260.73576311264429</v>
      </c>
      <c r="J42" s="2">
        <f t="shared" si="2"/>
        <v>241.51747131108533</v>
      </c>
      <c r="K42" s="2">
        <f t="shared" si="2"/>
        <v>222.78741419664433</v>
      </c>
      <c r="L42" s="2">
        <f t="shared" si="2"/>
        <v>204.69470412190583</v>
      </c>
      <c r="M42" s="2">
        <f t="shared" si="2"/>
        <v>187.37734377748515</v>
      </c>
      <c r="N42" s="2">
        <f t="shared" si="2"/>
        <v>170.96013071462002</v>
      </c>
      <c r="O42" s="2">
        <f t="shared" si="2"/>
        <v>155.55296157926739</v>
      </c>
      <c r="P42" s="2">
        <f t="shared" si="2"/>
        <v>141.24956633387424</v>
      </c>
      <c r="Q42" s="2">
        <f t="shared" si="2"/>
        <v>128.1266817759153</v>
      </c>
      <c r="R42" s="2">
        <f t="shared" si="2"/>
        <v>116.24365353369214</v>
      </c>
      <c r="S42" s="2">
        <f t="shared" si="2"/>
        <v>105.64243769963892</v>
      </c>
      <c r="T42" s="2">
        <f t="shared" si="2"/>
        <v>96.347958393682063</v>
      </c>
      <c r="U42" s="2">
        <f t="shared" si="2"/>
        <v>88.36876657893616</v>
      </c>
      <c r="V42" s="2">
        <f t="shared" si="2"/>
        <v>81.697938780615601</v>
      </c>
      <c r="W42" s="2">
        <f t="shared" si="2"/>
        <v>76.314152032704584</v>
      </c>
      <c r="X42" s="2">
        <f t="shared" si="2"/>
        <v>72.182873106760809</v>
      </c>
      <c r="Y42" s="2">
        <f t="shared" si="2"/>
        <v>69.257605287816176</v>
      </c>
      <c r="Z42" s="2">
        <f t="shared" si="2"/>
        <v>67.481143862801005</v>
      </c>
      <c r="AA42" s="2">
        <f t="shared" si="2"/>
        <v>66.786801156572579</v>
      </c>
      <c r="AB42" s="2">
        <f t="shared" si="2"/>
        <v>67.099572430483221</v>
      </c>
      <c r="AC42" s="2">
        <f t="shared" si="2"/>
        <v>68.337224339554268</v>
      </c>
      <c r="AD42" s="2">
        <f t="shared" si="2"/>
        <v>70.411297145055244</v>
      </c>
      <c r="AE42" s="2">
        <f t="shared" si="2"/>
        <v>73.228019904484043</v>
      </c>
      <c r="AF42" s="2">
        <f t="shared" si="2"/>
        <v>76.6891440388532</v>
      </c>
      <c r="AG42" s="2">
        <f t="shared" si="2"/>
        <v>80.6927048715837</v>
      </c>
      <c r="AH42" s="2">
        <f t="shared" si="2"/>
        <v>85.133723031206898</v>
      </c>
      <c r="AI42" s="2">
        <f t="shared" si="2"/>
        <v>89.904858287519005</v>
      </c>
      <c r="AJ42" s="2">
        <f t="shared" si="39"/>
        <v>94.897027861362886</v>
      </c>
      <c r="AK42" s="2">
        <v>100</v>
      </c>
      <c r="AM42" s="17"/>
      <c r="AN42" s="9">
        <f t="shared" si="6"/>
        <v>-2483999999.9999995</v>
      </c>
      <c r="AO42" s="9">
        <f t="shared" si="6"/>
        <v>-2320065460.9597211</v>
      </c>
      <c r="AP42" s="9">
        <f t="shared" si="7"/>
        <v>-2157524025.855979</v>
      </c>
      <c r="AQ42" s="9">
        <f t="shared" si="8"/>
        <v>-1997743370.8511176</v>
      </c>
      <c r="AR42" s="9">
        <f t="shared" si="9"/>
        <v>-1842041172.8038464</v>
      </c>
      <c r="AS42" s="9">
        <f t="shared" si="10"/>
        <v>-1691662202.2458639</v>
      </c>
      <c r="AT42" s="9">
        <f t="shared" si="11"/>
        <v>-1547757796.7319367</v>
      </c>
      <c r="AU42" s="9">
        <f t="shared" si="12"/>
        <v>-1411368300.4571517</v>
      </c>
      <c r="AV42" s="9">
        <f t="shared" si="13"/>
        <v>-1283408897.9719014</v>
      </c>
      <c r="AW42" s="9">
        <f t="shared" si="14"/>
        <v>-1164659094.9985008</v>
      </c>
      <c r="AX42" s="9">
        <f t="shared" si="15"/>
        <v>-1055755919.9574324</v>
      </c>
      <c r="AY42" s="9">
        <f t="shared" si="16"/>
        <v>-957190747.88914692</v>
      </c>
      <c r="AZ42" s="9">
        <f t="shared" si="17"/>
        <v>-869309494.92669106</v>
      </c>
      <c r="BA42" s="9">
        <f t="shared" si="18"/>
        <v>-792315805.28607392</v>
      </c>
      <c r="BB42" s="9">
        <f t="shared" si="19"/>
        <v>-726276760.24559021</v>
      </c>
      <c r="BC42" s="9">
        <f t="shared" si="20"/>
        <v>-671130583.15480161</v>
      </c>
      <c r="BD42" s="9">
        <f t="shared" si="21"/>
        <v>-626695796.44784951</v>
      </c>
      <c r="BE42" s="9">
        <f t="shared" si="22"/>
        <v>-592681303.34100282</v>
      </c>
      <c r="BF42" s="9">
        <f t="shared" si="23"/>
        <v>-568696913.31224978</v>
      </c>
      <c r="BG42" s="9">
        <f t="shared" si="24"/>
        <v>-554263899.68821502</v>
      </c>
      <c r="BH42" s="9">
        <f t="shared" si="25"/>
        <v>-548825261.69864511</v>
      </c>
      <c r="BI42" s="9">
        <f t="shared" si="26"/>
        <v>-551755453.89483678</v>
      </c>
      <c r="BJ42" s="9">
        <f t="shared" si="27"/>
        <v>-562369435.02028942</v>
      </c>
      <c r="BK42" s="9">
        <f t="shared" si="28"/>
        <v>-579930969.55179608</v>
      </c>
      <c r="BL42" s="9">
        <f t="shared" si="29"/>
        <v>-603660183.11687446</v>
      </c>
      <c r="BM42" s="9">
        <f t="shared" si="30"/>
        <v>-632740424.71048832</v>
      </c>
      <c r="BN42" s="9">
        <f t="shared" si="31"/>
        <v>-666324523.0033772</v>
      </c>
      <c r="BO42" s="9">
        <f t="shared" si="32"/>
        <v>-703540541.91810083</v>
      </c>
      <c r="BP42" s="9">
        <f t="shared" si="33"/>
        <v>-743497144.54607558</v>
      </c>
      <c r="BQ42" s="9">
        <f t="shared" si="34"/>
        <v>-785288668.07384062</v>
      </c>
      <c r="BR42" s="9">
        <f t="shared" si="35"/>
        <v>-827999999.99999988</v>
      </c>
      <c r="BT42" s="17"/>
      <c r="BU42" s="9">
        <v>0</v>
      </c>
      <c r="BV42" s="9">
        <f t="shared" ref="BV42:CY42" si="45">$C$12/($C$13-BU42*$C$14)</f>
        <v>0.25</v>
      </c>
      <c r="BW42" s="9">
        <f t="shared" si="45"/>
        <v>0.26666666666666666</v>
      </c>
      <c r="BX42" s="9">
        <f t="shared" si="45"/>
        <v>0.26785714285714285</v>
      </c>
      <c r="BY42" s="9">
        <f t="shared" si="45"/>
        <v>0.26794258373205743</v>
      </c>
      <c r="BZ42" s="9">
        <f t="shared" si="45"/>
        <v>0.26794871794871794</v>
      </c>
      <c r="CA42" s="9">
        <f t="shared" si="45"/>
        <v>0.26794915836482308</v>
      </c>
      <c r="CB42" s="9">
        <f t="shared" si="45"/>
        <v>0.26794918998527245</v>
      </c>
      <c r="CC42" s="9">
        <f t="shared" si="45"/>
        <v>0.26794919225551855</v>
      </c>
      <c r="CD42" s="9">
        <f t="shared" si="45"/>
        <v>0.26794919241851489</v>
      </c>
      <c r="CE42" s="9">
        <f t="shared" si="45"/>
        <v>0.26794919243021753</v>
      </c>
      <c r="CF42" s="9">
        <f t="shared" si="45"/>
        <v>0.26794919243105775</v>
      </c>
      <c r="CG42" s="9">
        <f t="shared" si="45"/>
        <v>0.26794919243111803</v>
      </c>
      <c r="CH42" s="9">
        <f t="shared" si="45"/>
        <v>0.26794919243112236</v>
      </c>
      <c r="CI42" s="9">
        <f t="shared" si="45"/>
        <v>0.2679491924311227</v>
      </c>
      <c r="CJ42" s="9">
        <f t="shared" si="45"/>
        <v>0.2679491924311227</v>
      </c>
      <c r="CK42" s="9">
        <f t="shared" si="45"/>
        <v>0.2679491924311227</v>
      </c>
      <c r="CL42" s="9">
        <f t="shared" si="45"/>
        <v>0.2679491924311227</v>
      </c>
      <c r="CM42" s="9">
        <f t="shared" si="45"/>
        <v>0.2679491924311227</v>
      </c>
      <c r="CN42" s="9">
        <f t="shared" si="45"/>
        <v>0.2679491924311227</v>
      </c>
      <c r="CO42" s="9">
        <f t="shared" si="45"/>
        <v>0.2679491924311227</v>
      </c>
      <c r="CP42" s="9">
        <f t="shared" si="45"/>
        <v>0.2679491924311227</v>
      </c>
      <c r="CQ42" s="9">
        <f t="shared" si="45"/>
        <v>0.2679491924311227</v>
      </c>
      <c r="CR42" s="9">
        <f t="shared" si="45"/>
        <v>0.2679491924311227</v>
      </c>
      <c r="CS42" s="9">
        <f t="shared" si="45"/>
        <v>0.2679491924311227</v>
      </c>
      <c r="CT42" s="9">
        <f t="shared" si="45"/>
        <v>0.2679491924311227</v>
      </c>
      <c r="CU42" s="9">
        <f t="shared" si="45"/>
        <v>0.2679491924311227</v>
      </c>
      <c r="CV42" s="9">
        <f t="shared" si="45"/>
        <v>0.2679491924311227</v>
      </c>
      <c r="CW42" s="9">
        <f t="shared" si="45"/>
        <v>0.2679491924311227</v>
      </c>
      <c r="CX42" s="9">
        <f t="shared" si="45"/>
        <v>0.2679491924311227</v>
      </c>
      <c r="CY42" s="9">
        <f t="shared" si="45"/>
        <v>0.2679491924311227</v>
      </c>
      <c r="DB42" s="17"/>
      <c r="DC42" s="9">
        <f t="shared" si="37"/>
        <v>300</v>
      </c>
      <c r="DD42" s="9">
        <f t="shared" si="38"/>
        <v>215.10057131399284</v>
      </c>
      <c r="DE42" s="9">
        <f t="shared" si="5"/>
        <v>196.33110409635489</v>
      </c>
      <c r="DF42" s="9">
        <f t="shared" si="5"/>
        <v>181.84227107984131</v>
      </c>
      <c r="DG42" s="9">
        <f t="shared" si="5"/>
        <v>167.94098629795187</v>
      </c>
      <c r="DH42" s="9">
        <f t="shared" si="5"/>
        <v>154.48718508409249</v>
      </c>
      <c r="DI42" s="9">
        <f t="shared" si="5"/>
        <v>141.56872063856258</v>
      </c>
      <c r="DJ42" s="9">
        <f t="shared" si="5"/>
        <v>129.27984065964512</v>
      </c>
      <c r="DK42" s="9">
        <f t="shared" si="5"/>
        <v>117.70525437366351</v>
      </c>
      <c r="DL42" s="9">
        <f t="shared" si="5"/>
        <v>106.91812542475368</v>
      </c>
      <c r="DM42" s="9">
        <f t="shared" si="5"/>
        <v>96.979288686424496</v>
      </c>
      <c r="DN42" s="9">
        <f t="shared" si="5"/>
        <v>87.936847665625564</v>
      </c>
      <c r="DO42" s="9">
        <f t="shared" si="5"/>
        <v>79.826080055664846</v>
      </c>
      <c r="DP42" s="9">
        <f t="shared" si="5"/>
        <v>72.66961875272176</v>
      </c>
      <c r="DQ42" s="9">
        <f t="shared" si="5"/>
        <v>66.477869859382906</v>
      </c>
      <c r="DR42" s="9">
        <f t="shared" si="5"/>
        <v>61.249623372386495</v>
      </c>
      <c r="DS42" s="9">
        <f t="shared" si="5"/>
        <v>56.972809476389827</v>
      </c>
      <c r="DT42" s="9">
        <f t="shared" si="5"/>
        <v>53.625353700177008</v>
      </c>
      <c r="DU42" s="9">
        <f t="shared" si="5"/>
        <v>51.17608728545023</v>
      </c>
      <c r="DV42" s="9">
        <f t="shared" si="5"/>
        <v>49.585674427839407</v>
      </c>
      <c r="DW42" s="9">
        <f t="shared" si="5"/>
        <v>48.807524911350981</v>
      </c>
      <c r="DX42" s="9">
        <f t="shared" si="5"/>
        <v>48.788668355715188</v>
      </c>
      <c r="DY42" s="9">
        <f t="shared" si="5"/>
        <v>49.470574131508904</v>
      </c>
      <c r="DZ42" s="9">
        <f t="shared" si="5"/>
        <v>50.789908348318569</v>
      </c>
      <c r="EA42" s="9">
        <f t="shared" si="5"/>
        <v>52.679225691039278</v>
      </c>
      <c r="EB42" s="9">
        <f t="shared" si="5"/>
        <v>55.067598933429423</v>
      </c>
      <c r="EC42" s="9">
        <f t="shared" si="5"/>
        <v>57.881192536716945</v>
      </c>
      <c r="ED42" s="9">
        <f t="shared" si="5"/>
        <v>61.04378885743165</v>
      </c>
      <c r="EE42" s="9">
        <f t="shared" si="5"/>
        <v>64.477276307953062</v>
      </c>
      <c r="EF42" s="9">
        <f t="shared" si="5"/>
        <v>68.102108618250625</v>
      </c>
      <c r="EG42" s="9">
        <f t="shared" si="5"/>
        <v>71.837743493341407</v>
      </c>
    </row>
    <row r="43" spans="6:137" x14ac:dyDescent="0.3">
      <c r="F43" s="17"/>
      <c r="G43" s="3">
        <v>300</v>
      </c>
      <c r="H43" s="2">
        <f t="shared" si="2"/>
        <v>280.28451209215393</v>
      </c>
      <c r="I43" s="2">
        <f t="shared" si="2"/>
        <v>260.73576311264429</v>
      </c>
      <c r="J43" s="2">
        <f t="shared" si="2"/>
        <v>241.51747131108533</v>
      </c>
      <c r="K43" s="2">
        <f t="shared" si="2"/>
        <v>222.78741419664433</v>
      </c>
      <c r="L43" s="2">
        <f t="shared" si="2"/>
        <v>204.69470412190583</v>
      </c>
      <c r="M43" s="2">
        <f t="shared" si="2"/>
        <v>187.37734377748515</v>
      </c>
      <c r="N43" s="2">
        <f t="shared" si="2"/>
        <v>170.96013071462002</v>
      </c>
      <c r="O43" s="2">
        <f t="shared" si="2"/>
        <v>155.55296157926739</v>
      </c>
      <c r="P43" s="2">
        <f t="shared" si="2"/>
        <v>141.24956633387424</v>
      </c>
      <c r="Q43" s="2">
        <f t="shared" si="2"/>
        <v>128.1266817759153</v>
      </c>
      <c r="R43" s="2">
        <f t="shared" si="2"/>
        <v>116.24365353369214</v>
      </c>
      <c r="S43" s="2">
        <f t="shared" si="2"/>
        <v>105.64243769963892</v>
      </c>
      <c r="T43" s="2">
        <f t="shared" si="2"/>
        <v>96.347958393682063</v>
      </c>
      <c r="U43" s="2">
        <f t="shared" si="2"/>
        <v>88.36876657893616</v>
      </c>
      <c r="V43" s="2">
        <f t="shared" si="2"/>
        <v>81.697938780615601</v>
      </c>
      <c r="W43" s="2">
        <f t="shared" si="2"/>
        <v>76.314152032704584</v>
      </c>
      <c r="X43" s="2">
        <f t="shared" si="2"/>
        <v>72.182873106760809</v>
      </c>
      <c r="Y43" s="2">
        <f t="shared" si="2"/>
        <v>69.257605287816176</v>
      </c>
      <c r="Z43" s="2">
        <f t="shared" si="2"/>
        <v>67.481143862801005</v>
      </c>
      <c r="AA43" s="2">
        <f t="shared" si="2"/>
        <v>66.786801156572579</v>
      </c>
      <c r="AB43" s="2">
        <f t="shared" si="2"/>
        <v>67.099572430483221</v>
      </c>
      <c r="AC43" s="2">
        <f t="shared" si="2"/>
        <v>68.337224339554268</v>
      </c>
      <c r="AD43" s="2">
        <f t="shared" si="2"/>
        <v>70.411297145055244</v>
      </c>
      <c r="AE43" s="2">
        <f t="shared" si="2"/>
        <v>73.228019904484043</v>
      </c>
      <c r="AF43" s="2">
        <f t="shared" si="2"/>
        <v>76.6891440388532</v>
      </c>
      <c r="AG43" s="2">
        <f t="shared" si="2"/>
        <v>80.6927048715837</v>
      </c>
      <c r="AH43" s="2">
        <f t="shared" si="2"/>
        <v>85.133723031206898</v>
      </c>
      <c r="AI43" s="2">
        <f t="shared" si="2"/>
        <v>89.904858287519005</v>
      </c>
      <c r="AJ43" s="2">
        <f t="shared" si="39"/>
        <v>94.897027861362886</v>
      </c>
      <c r="AK43" s="2">
        <v>100</v>
      </c>
      <c r="AM43" s="17"/>
      <c r="AN43" s="9">
        <f t="shared" si="6"/>
        <v>-2483999999.9999995</v>
      </c>
      <c r="AO43" s="9">
        <f t="shared" si="6"/>
        <v>-2320065460.9597211</v>
      </c>
      <c r="AP43" s="9">
        <f t="shared" si="7"/>
        <v>-2157524025.855979</v>
      </c>
      <c r="AQ43" s="9">
        <f t="shared" si="8"/>
        <v>-1997743370.8511176</v>
      </c>
      <c r="AR43" s="9">
        <f t="shared" si="9"/>
        <v>-1842041172.8038464</v>
      </c>
      <c r="AS43" s="9">
        <f t="shared" si="10"/>
        <v>-1691662202.2458639</v>
      </c>
      <c r="AT43" s="9">
        <f t="shared" si="11"/>
        <v>-1547757796.7319367</v>
      </c>
      <c r="AU43" s="9">
        <f t="shared" si="12"/>
        <v>-1411368300.4571517</v>
      </c>
      <c r="AV43" s="9">
        <f t="shared" si="13"/>
        <v>-1283408897.9719014</v>
      </c>
      <c r="AW43" s="9">
        <f t="shared" si="14"/>
        <v>-1164659094.9985008</v>
      </c>
      <c r="AX43" s="9">
        <f t="shared" si="15"/>
        <v>-1055755919.9574324</v>
      </c>
      <c r="AY43" s="9">
        <f t="shared" si="16"/>
        <v>-957190747.88914692</v>
      </c>
      <c r="AZ43" s="9">
        <f t="shared" si="17"/>
        <v>-869309494.92669106</v>
      </c>
      <c r="BA43" s="9">
        <f t="shared" si="18"/>
        <v>-792315805.28607392</v>
      </c>
      <c r="BB43" s="9">
        <f t="shared" si="19"/>
        <v>-726276760.24559021</v>
      </c>
      <c r="BC43" s="9">
        <f t="shared" si="20"/>
        <v>-671130583.15480161</v>
      </c>
      <c r="BD43" s="9">
        <f t="shared" si="21"/>
        <v>-626695796.44784951</v>
      </c>
      <c r="BE43" s="9">
        <f t="shared" si="22"/>
        <v>-592681303.34100282</v>
      </c>
      <c r="BF43" s="9">
        <f t="shared" si="23"/>
        <v>-568696913.31224978</v>
      </c>
      <c r="BG43" s="9">
        <f t="shared" si="24"/>
        <v>-554263899.68821502</v>
      </c>
      <c r="BH43" s="9">
        <f t="shared" si="25"/>
        <v>-548825261.69864511</v>
      </c>
      <c r="BI43" s="9">
        <f t="shared" si="26"/>
        <v>-551755453.89483678</v>
      </c>
      <c r="BJ43" s="9">
        <f t="shared" si="27"/>
        <v>-562369435.02028942</v>
      </c>
      <c r="BK43" s="9">
        <f t="shared" si="28"/>
        <v>-579930969.55179608</v>
      </c>
      <c r="BL43" s="9">
        <f t="shared" si="29"/>
        <v>-603660183.11687446</v>
      </c>
      <c r="BM43" s="9">
        <f t="shared" si="30"/>
        <v>-632740424.71048832</v>
      </c>
      <c r="BN43" s="9">
        <f t="shared" si="31"/>
        <v>-666324523.0033772</v>
      </c>
      <c r="BO43" s="9">
        <f t="shared" si="32"/>
        <v>-703540541.91810083</v>
      </c>
      <c r="BP43" s="9">
        <f t="shared" si="33"/>
        <v>-743497144.54607558</v>
      </c>
      <c r="BQ43" s="9">
        <f t="shared" si="34"/>
        <v>-785288668.07384062</v>
      </c>
      <c r="BR43" s="9">
        <f t="shared" si="35"/>
        <v>-827999999.99999988</v>
      </c>
      <c r="BT43" s="17"/>
      <c r="BU43" s="9">
        <v>0</v>
      </c>
      <c r="BV43" s="9">
        <f t="shared" ref="BV43:CY43" si="46">$C$12/($C$13-BU43*$C$14)</f>
        <v>0.25</v>
      </c>
      <c r="BW43" s="9">
        <f t="shared" si="46"/>
        <v>0.26666666666666666</v>
      </c>
      <c r="BX43" s="9">
        <f t="shared" si="46"/>
        <v>0.26785714285714285</v>
      </c>
      <c r="BY43" s="9">
        <f t="shared" si="46"/>
        <v>0.26794258373205743</v>
      </c>
      <c r="BZ43" s="9">
        <f t="shared" si="46"/>
        <v>0.26794871794871794</v>
      </c>
      <c r="CA43" s="9">
        <f t="shared" si="46"/>
        <v>0.26794915836482308</v>
      </c>
      <c r="CB43" s="9">
        <f t="shared" si="46"/>
        <v>0.26794918998527245</v>
      </c>
      <c r="CC43" s="9">
        <f t="shared" si="46"/>
        <v>0.26794919225551855</v>
      </c>
      <c r="CD43" s="9">
        <f t="shared" si="46"/>
        <v>0.26794919241851489</v>
      </c>
      <c r="CE43" s="9">
        <f t="shared" si="46"/>
        <v>0.26794919243021753</v>
      </c>
      <c r="CF43" s="9">
        <f t="shared" si="46"/>
        <v>0.26794919243105775</v>
      </c>
      <c r="CG43" s="9">
        <f t="shared" si="46"/>
        <v>0.26794919243111803</v>
      </c>
      <c r="CH43" s="9">
        <f t="shared" si="46"/>
        <v>0.26794919243112236</v>
      </c>
      <c r="CI43" s="9">
        <f t="shared" si="46"/>
        <v>0.2679491924311227</v>
      </c>
      <c r="CJ43" s="9">
        <f t="shared" si="46"/>
        <v>0.2679491924311227</v>
      </c>
      <c r="CK43" s="9">
        <f t="shared" si="46"/>
        <v>0.2679491924311227</v>
      </c>
      <c r="CL43" s="9">
        <f t="shared" si="46"/>
        <v>0.2679491924311227</v>
      </c>
      <c r="CM43" s="9">
        <f t="shared" si="46"/>
        <v>0.2679491924311227</v>
      </c>
      <c r="CN43" s="9">
        <f t="shared" si="46"/>
        <v>0.2679491924311227</v>
      </c>
      <c r="CO43" s="9">
        <f t="shared" si="46"/>
        <v>0.2679491924311227</v>
      </c>
      <c r="CP43" s="9">
        <f t="shared" si="46"/>
        <v>0.2679491924311227</v>
      </c>
      <c r="CQ43" s="9">
        <f t="shared" si="46"/>
        <v>0.2679491924311227</v>
      </c>
      <c r="CR43" s="9">
        <f t="shared" si="46"/>
        <v>0.2679491924311227</v>
      </c>
      <c r="CS43" s="9">
        <f t="shared" si="46"/>
        <v>0.2679491924311227</v>
      </c>
      <c r="CT43" s="9">
        <f t="shared" si="46"/>
        <v>0.2679491924311227</v>
      </c>
      <c r="CU43" s="9">
        <f t="shared" si="46"/>
        <v>0.2679491924311227</v>
      </c>
      <c r="CV43" s="9">
        <f t="shared" si="46"/>
        <v>0.2679491924311227</v>
      </c>
      <c r="CW43" s="9">
        <f t="shared" si="46"/>
        <v>0.2679491924311227</v>
      </c>
      <c r="CX43" s="9">
        <f t="shared" si="46"/>
        <v>0.2679491924311227</v>
      </c>
      <c r="CY43" s="9">
        <f t="shared" si="46"/>
        <v>0.2679491924311227</v>
      </c>
      <c r="DB43" s="17"/>
      <c r="DC43" s="9">
        <f t="shared" si="37"/>
        <v>300</v>
      </c>
      <c r="DD43" s="9">
        <f t="shared" si="38"/>
        <v>215.10057131399284</v>
      </c>
      <c r="DE43" s="9">
        <f t="shared" si="5"/>
        <v>196.33110409635489</v>
      </c>
      <c r="DF43" s="9">
        <f t="shared" si="5"/>
        <v>181.84227107984131</v>
      </c>
      <c r="DG43" s="9">
        <f t="shared" si="5"/>
        <v>167.94098629795187</v>
      </c>
      <c r="DH43" s="9">
        <f t="shared" si="5"/>
        <v>154.48718508409249</v>
      </c>
      <c r="DI43" s="9">
        <f t="shared" si="5"/>
        <v>141.56872063856258</v>
      </c>
      <c r="DJ43" s="9">
        <f t="shared" si="5"/>
        <v>129.27984065964512</v>
      </c>
      <c r="DK43" s="9">
        <f t="shared" si="5"/>
        <v>117.70525437366351</v>
      </c>
      <c r="DL43" s="9">
        <f t="shared" si="5"/>
        <v>106.91812542475368</v>
      </c>
      <c r="DM43" s="9">
        <f t="shared" si="5"/>
        <v>96.979288686424496</v>
      </c>
      <c r="DN43" s="9">
        <f t="shared" si="5"/>
        <v>87.936847665625564</v>
      </c>
      <c r="DO43" s="9">
        <f t="shared" si="5"/>
        <v>79.826080055664846</v>
      </c>
      <c r="DP43" s="9">
        <f t="shared" si="5"/>
        <v>72.66961875272176</v>
      </c>
      <c r="DQ43" s="9">
        <f t="shared" si="5"/>
        <v>66.477869859382906</v>
      </c>
      <c r="DR43" s="9">
        <f t="shared" si="5"/>
        <v>61.249623372386495</v>
      </c>
      <c r="DS43" s="9">
        <f t="shared" si="5"/>
        <v>56.972809476389827</v>
      </c>
      <c r="DT43" s="9">
        <f t="shared" si="5"/>
        <v>53.625353700177008</v>
      </c>
      <c r="DU43" s="9">
        <f t="shared" si="5"/>
        <v>51.17608728545023</v>
      </c>
      <c r="DV43" s="9">
        <f t="shared" si="5"/>
        <v>49.585674427839407</v>
      </c>
      <c r="DW43" s="9">
        <f t="shared" si="5"/>
        <v>48.807524911350981</v>
      </c>
      <c r="DX43" s="9">
        <f t="shared" si="5"/>
        <v>48.788668355715188</v>
      </c>
      <c r="DY43" s="9">
        <f t="shared" si="5"/>
        <v>49.470574131508904</v>
      </c>
      <c r="DZ43" s="9">
        <f t="shared" si="5"/>
        <v>50.789908348318569</v>
      </c>
      <c r="EA43" s="9">
        <f t="shared" si="5"/>
        <v>52.679225691039278</v>
      </c>
      <c r="EB43" s="9">
        <f t="shared" ref="EB43:EB65" si="47">(EA43*$C$14-BM43)/($C$13-$C$14*CS43)</f>
        <v>55.067598933429423</v>
      </c>
      <c r="EC43" s="9">
        <f t="shared" ref="EC43:EC65" si="48">(EB43*$C$14-BN43)/($C$13-$C$14*CT43)</f>
        <v>57.881192536716945</v>
      </c>
      <c r="ED43" s="9">
        <f t="shared" ref="ED43:ED65" si="49">(EC43*$C$14-BO43)/($C$13-$C$14*CU43)</f>
        <v>61.04378885743165</v>
      </c>
      <c r="EE43" s="9">
        <f t="shared" ref="EE43:EE65" si="50">(ED43*$C$14-BP43)/($C$13-$C$14*CV43)</f>
        <v>64.477276307953062</v>
      </c>
      <c r="EF43" s="9">
        <f t="shared" ref="EF43:EF65" si="51">(EE43*$C$14-BQ43)/($C$13-$C$14*CW43)</f>
        <v>68.102108618250625</v>
      </c>
      <c r="EG43" s="9">
        <f t="shared" ref="EG43:EG65" si="52">(EF43*$C$14-BR43)/($C$13-$C$14*CX43)</f>
        <v>71.837743493341407</v>
      </c>
    </row>
    <row r="44" spans="6:137" x14ac:dyDescent="0.3">
      <c r="F44" s="17"/>
      <c r="G44" s="3">
        <v>300</v>
      </c>
      <c r="H44" s="2">
        <f t="shared" si="2"/>
        <v>280.28451209215393</v>
      </c>
      <c r="I44" s="2">
        <f t="shared" si="2"/>
        <v>260.73576311264429</v>
      </c>
      <c r="J44" s="2">
        <f t="shared" si="2"/>
        <v>241.51747131108533</v>
      </c>
      <c r="K44" s="2">
        <f t="shared" ref="K44:K65" si="53">BY44*L44+DG44</f>
        <v>222.78741419664433</v>
      </c>
      <c r="L44" s="2">
        <f t="shared" ref="L44:L65" si="54">BZ44*M44+DH44</f>
        <v>204.69470412190583</v>
      </c>
      <c r="M44" s="2">
        <f t="shared" ref="M44:M65" si="55">CA44*N44+DI44</f>
        <v>187.37734377748515</v>
      </c>
      <c r="N44" s="2">
        <f t="shared" ref="N44:N65" si="56">CB44*O44+DJ44</f>
        <v>170.96013071462002</v>
      </c>
      <c r="O44" s="2">
        <f t="shared" ref="O44:O65" si="57">CC44*P44+DK44</f>
        <v>155.55296157926739</v>
      </c>
      <c r="P44" s="2">
        <f t="shared" ref="P44:P65" si="58">CD44*Q44+DL44</f>
        <v>141.24956633387424</v>
      </c>
      <c r="Q44" s="2">
        <f t="shared" ref="Q44:Q65" si="59">CE44*R44+DM44</f>
        <v>128.1266817759153</v>
      </c>
      <c r="R44" s="2">
        <f t="shared" ref="R44:R65" si="60">CF44*S44+DN44</f>
        <v>116.24365353369214</v>
      </c>
      <c r="S44" s="2">
        <f t="shared" ref="S44:S65" si="61">CG44*T44+DO44</f>
        <v>105.64243769963892</v>
      </c>
      <c r="T44" s="2">
        <f t="shared" ref="T44:T65" si="62">CH44*U44+DP44</f>
        <v>96.347958393682063</v>
      </c>
      <c r="U44" s="2">
        <f t="shared" ref="U44:U65" si="63">CI44*V44+DQ44</f>
        <v>88.36876657893616</v>
      </c>
      <c r="V44" s="2">
        <f t="shared" ref="V44:V65" si="64">CJ44*W44+DR44</f>
        <v>81.697938780615601</v>
      </c>
      <c r="W44" s="2">
        <f t="shared" ref="W44:W65" si="65">CK44*X44+DS44</f>
        <v>76.314152032704584</v>
      </c>
      <c r="X44" s="2">
        <f t="shared" ref="X44:X65" si="66">CL44*Y44+DT44</f>
        <v>72.182873106760809</v>
      </c>
      <c r="Y44" s="2">
        <f t="shared" ref="Y44:Y65" si="67">CM44*Z44+DU44</f>
        <v>69.257605287816176</v>
      </c>
      <c r="Z44" s="2">
        <f t="shared" ref="Z44:Z65" si="68">CN44*AA44+DV44</f>
        <v>67.481143862801005</v>
      </c>
      <c r="AA44" s="2">
        <f t="shared" ref="AA44:AA65" si="69">CO44*AB44+DW44</f>
        <v>66.786801156572579</v>
      </c>
      <c r="AB44" s="2">
        <f t="shared" ref="AB44:AB65" si="70">CP44*AC44+DX44</f>
        <v>67.099572430483221</v>
      </c>
      <c r="AC44" s="2">
        <f t="shared" ref="AC44:AC65" si="71">CQ44*AD44+DY44</f>
        <v>68.337224339554268</v>
      </c>
      <c r="AD44" s="2">
        <f t="shared" ref="AD44:AD65" si="72">CR44*AE44+DZ44</f>
        <v>70.411297145055244</v>
      </c>
      <c r="AE44" s="2">
        <f t="shared" ref="AE44:AE65" si="73">CS44*AF44+EA44</f>
        <v>73.228019904484043</v>
      </c>
      <c r="AF44" s="2">
        <f t="shared" ref="AF44:AF65" si="74">CT44*AG44+EB44</f>
        <v>76.6891440388532</v>
      </c>
      <c r="AG44" s="2">
        <f t="shared" ref="AG44:AG65" si="75">CU44*AH44+EC44</f>
        <v>80.6927048715837</v>
      </c>
      <c r="AH44" s="2">
        <f t="shared" ref="AH44:AH65" si="76">CV44*AI44+ED44</f>
        <v>85.133723031206898</v>
      </c>
      <c r="AI44" s="2">
        <f t="shared" ref="AI44:AI65" si="77">CW44*AJ44+EE44</f>
        <v>89.904858287519005</v>
      </c>
      <c r="AJ44" s="2">
        <f t="shared" si="39"/>
        <v>94.897027861362886</v>
      </c>
      <c r="AK44" s="2">
        <v>100</v>
      </c>
      <c r="AM44" s="17"/>
      <c r="AN44" s="9">
        <f t="shared" si="6"/>
        <v>-2483999999.9999995</v>
      </c>
      <c r="AO44" s="9">
        <f t="shared" si="6"/>
        <v>-2320065460.9597211</v>
      </c>
      <c r="AP44" s="9">
        <f t="shared" si="7"/>
        <v>-2157524025.855979</v>
      </c>
      <c r="AQ44" s="9">
        <f t="shared" si="8"/>
        <v>-1997743370.8511176</v>
      </c>
      <c r="AR44" s="9">
        <f t="shared" si="9"/>
        <v>-1842041172.8038464</v>
      </c>
      <c r="AS44" s="9">
        <f t="shared" si="10"/>
        <v>-1691662202.2458639</v>
      </c>
      <c r="AT44" s="9">
        <f t="shared" si="11"/>
        <v>-1547757796.7319367</v>
      </c>
      <c r="AU44" s="9">
        <f t="shared" si="12"/>
        <v>-1411368300.4571517</v>
      </c>
      <c r="AV44" s="9">
        <f t="shared" si="13"/>
        <v>-1283408897.9719014</v>
      </c>
      <c r="AW44" s="9">
        <f t="shared" si="14"/>
        <v>-1164659094.9985008</v>
      </c>
      <c r="AX44" s="9">
        <f t="shared" si="15"/>
        <v>-1055755919.9574324</v>
      </c>
      <c r="AY44" s="9">
        <f t="shared" si="16"/>
        <v>-957190747.88914692</v>
      </c>
      <c r="AZ44" s="9">
        <f t="shared" si="17"/>
        <v>-869309494.92669106</v>
      </c>
      <c r="BA44" s="9">
        <f t="shared" si="18"/>
        <v>-792315805.28607392</v>
      </c>
      <c r="BB44" s="9">
        <f t="shared" si="19"/>
        <v>-726276760.24559021</v>
      </c>
      <c r="BC44" s="9">
        <f t="shared" si="20"/>
        <v>-671130583.15480161</v>
      </c>
      <c r="BD44" s="9">
        <f t="shared" si="21"/>
        <v>-626695796.44784951</v>
      </c>
      <c r="BE44" s="9">
        <f t="shared" si="22"/>
        <v>-592681303.34100282</v>
      </c>
      <c r="BF44" s="9">
        <f t="shared" si="23"/>
        <v>-568696913.31224978</v>
      </c>
      <c r="BG44" s="9">
        <f t="shared" si="24"/>
        <v>-554263899.68821502</v>
      </c>
      <c r="BH44" s="9">
        <f t="shared" si="25"/>
        <v>-548825261.69864511</v>
      </c>
      <c r="BI44" s="9">
        <f t="shared" si="26"/>
        <v>-551755453.89483678</v>
      </c>
      <c r="BJ44" s="9">
        <f t="shared" si="27"/>
        <v>-562369435.02028942</v>
      </c>
      <c r="BK44" s="9">
        <f t="shared" si="28"/>
        <v>-579930969.55179608</v>
      </c>
      <c r="BL44" s="9">
        <f t="shared" si="29"/>
        <v>-603660183.11687446</v>
      </c>
      <c r="BM44" s="9">
        <f t="shared" si="30"/>
        <v>-632740424.71048832</v>
      </c>
      <c r="BN44" s="9">
        <f t="shared" si="31"/>
        <v>-666324523.0033772</v>
      </c>
      <c r="BO44" s="9">
        <f t="shared" si="32"/>
        <v>-703540541.91810083</v>
      </c>
      <c r="BP44" s="9">
        <f t="shared" si="33"/>
        <v>-743497144.54607558</v>
      </c>
      <c r="BQ44" s="9">
        <f t="shared" si="34"/>
        <v>-785288668.07384062</v>
      </c>
      <c r="BR44" s="9">
        <f t="shared" si="35"/>
        <v>-827999999.99999988</v>
      </c>
      <c r="BT44" s="17"/>
      <c r="BU44" s="9">
        <v>0</v>
      </c>
      <c r="BV44" s="9">
        <f t="shared" ref="BV44:CY44" si="78">$C$12/($C$13-BU44*$C$14)</f>
        <v>0.25</v>
      </c>
      <c r="BW44" s="9">
        <f t="shared" si="78"/>
        <v>0.26666666666666666</v>
      </c>
      <c r="BX44" s="9">
        <f t="shared" si="78"/>
        <v>0.26785714285714285</v>
      </c>
      <c r="BY44" s="9">
        <f t="shared" si="78"/>
        <v>0.26794258373205743</v>
      </c>
      <c r="BZ44" s="9">
        <f t="shared" si="78"/>
        <v>0.26794871794871794</v>
      </c>
      <c r="CA44" s="9">
        <f t="shared" si="78"/>
        <v>0.26794915836482308</v>
      </c>
      <c r="CB44" s="9">
        <f t="shared" si="78"/>
        <v>0.26794918998527245</v>
      </c>
      <c r="CC44" s="9">
        <f t="shared" si="78"/>
        <v>0.26794919225551855</v>
      </c>
      <c r="CD44" s="9">
        <f t="shared" si="78"/>
        <v>0.26794919241851489</v>
      </c>
      <c r="CE44" s="9">
        <f t="shared" si="78"/>
        <v>0.26794919243021753</v>
      </c>
      <c r="CF44" s="9">
        <f t="shared" si="78"/>
        <v>0.26794919243105775</v>
      </c>
      <c r="CG44" s="9">
        <f t="shared" si="78"/>
        <v>0.26794919243111803</v>
      </c>
      <c r="CH44" s="9">
        <f t="shared" si="78"/>
        <v>0.26794919243112236</v>
      </c>
      <c r="CI44" s="9">
        <f t="shared" si="78"/>
        <v>0.2679491924311227</v>
      </c>
      <c r="CJ44" s="9">
        <f t="shared" si="78"/>
        <v>0.2679491924311227</v>
      </c>
      <c r="CK44" s="9">
        <f t="shared" si="78"/>
        <v>0.2679491924311227</v>
      </c>
      <c r="CL44" s="9">
        <f t="shared" si="78"/>
        <v>0.2679491924311227</v>
      </c>
      <c r="CM44" s="9">
        <f t="shared" si="78"/>
        <v>0.2679491924311227</v>
      </c>
      <c r="CN44" s="9">
        <f t="shared" si="78"/>
        <v>0.2679491924311227</v>
      </c>
      <c r="CO44" s="9">
        <f t="shared" si="78"/>
        <v>0.2679491924311227</v>
      </c>
      <c r="CP44" s="9">
        <f t="shared" si="78"/>
        <v>0.2679491924311227</v>
      </c>
      <c r="CQ44" s="9">
        <f t="shared" si="78"/>
        <v>0.2679491924311227</v>
      </c>
      <c r="CR44" s="9">
        <f t="shared" si="78"/>
        <v>0.2679491924311227</v>
      </c>
      <c r="CS44" s="9">
        <f t="shared" si="78"/>
        <v>0.2679491924311227</v>
      </c>
      <c r="CT44" s="9">
        <f t="shared" si="78"/>
        <v>0.2679491924311227</v>
      </c>
      <c r="CU44" s="9">
        <f t="shared" si="78"/>
        <v>0.2679491924311227</v>
      </c>
      <c r="CV44" s="9">
        <f t="shared" si="78"/>
        <v>0.2679491924311227</v>
      </c>
      <c r="CW44" s="9">
        <f t="shared" si="78"/>
        <v>0.2679491924311227</v>
      </c>
      <c r="CX44" s="9">
        <f t="shared" si="78"/>
        <v>0.2679491924311227</v>
      </c>
      <c r="CY44" s="9">
        <f t="shared" si="78"/>
        <v>0.2679491924311227</v>
      </c>
      <c r="DB44" s="17"/>
      <c r="DC44" s="9">
        <f t="shared" si="37"/>
        <v>300</v>
      </c>
      <c r="DD44" s="9">
        <f t="shared" si="38"/>
        <v>215.10057131399284</v>
      </c>
      <c r="DE44" s="9">
        <f t="shared" ref="DE44:DE65" si="79">(DD44*$C$14-AP44)/($C$13-$C$14*BV44)</f>
        <v>196.33110409635489</v>
      </c>
      <c r="DF44" s="9">
        <f t="shared" ref="DF44:DF65" si="80">(DE44*$C$14-AQ44)/($C$13-$C$14*BW44)</f>
        <v>181.84227107984131</v>
      </c>
      <c r="DG44" s="9">
        <f t="shared" ref="DG44:DG65" si="81">(DF44*$C$14-AR44)/($C$13-$C$14*BX44)</f>
        <v>167.94098629795187</v>
      </c>
      <c r="DH44" s="9">
        <f t="shared" ref="DH44:DH65" si="82">(DG44*$C$14-AS44)/($C$13-$C$14*BY44)</f>
        <v>154.48718508409249</v>
      </c>
      <c r="DI44" s="9">
        <f t="shared" ref="DI44:DI65" si="83">(DH44*$C$14-AT44)/($C$13-$C$14*BZ44)</f>
        <v>141.56872063856258</v>
      </c>
      <c r="DJ44" s="9">
        <f t="shared" ref="DJ44:DJ65" si="84">(DI44*$C$14-AU44)/($C$13-$C$14*CA44)</f>
        <v>129.27984065964512</v>
      </c>
      <c r="DK44" s="9">
        <f t="shared" ref="DK44:DK65" si="85">(DJ44*$C$14-AV44)/($C$13-$C$14*CB44)</f>
        <v>117.70525437366351</v>
      </c>
      <c r="DL44" s="9">
        <f t="shared" ref="DL44:DL65" si="86">(DK44*$C$14-AW44)/($C$13-$C$14*CC44)</f>
        <v>106.91812542475368</v>
      </c>
      <c r="DM44" s="9">
        <f t="shared" ref="DM44:DM65" si="87">(DL44*$C$14-AX44)/($C$13-$C$14*CD44)</f>
        <v>96.979288686424496</v>
      </c>
      <c r="DN44" s="9">
        <f t="shared" ref="DN44:DN65" si="88">(DM44*$C$14-AY44)/($C$13-$C$14*CE44)</f>
        <v>87.936847665625564</v>
      </c>
      <c r="DO44" s="9">
        <f t="shared" ref="DO44:DO65" si="89">(DN44*$C$14-AZ44)/($C$13-$C$14*CF44)</f>
        <v>79.826080055664846</v>
      </c>
      <c r="DP44" s="9">
        <f t="shared" ref="DP44:DP65" si="90">(DO44*$C$14-BA44)/($C$13-$C$14*CG44)</f>
        <v>72.66961875272176</v>
      </c>
      <c r="DQ44" s="9">
        <f t="shared" ref="DQ44:DQ65" si="91">(DP44*$C$14-BB44)/($C$13-$C$14*CH44)</f>
        <v>66.477869859382906</v>
      </c>
      <c r="DR44" s="9">
        <f t="shared" ref="DR44:DR65" si="92">(DQ44*$C$14-BC44)/($C$13-$C$14*CI44)</f>
        <v>61.249623372386495</v>
      </c>
      <c r="DS44" s="9">
        <f t="shared" ref="DS44:DS65" si="93">(DR44*$C$14-BD44)/($C$13-$C$14*CJ44)</f>
        <v>56.972809476389827</v>
      </c>
      <c r="DT44" s="9">
        <f t="shared" ref="DT44:DT65" si="94">(DS44*$C$14-BE44)/($C$13-$C$14*CK44)</f>
        <v>53.625353700177008</v>
      </c>
      <c r="DU44" s="9">
        <f t="shared" ref="DU44:DU65" si="95">(DT44*$C$14-BF44)/($C$13-$C$14*CL44)</f>
        <v>51.17608728545023</v>
      </c>
      <c r="DV44" s="9">
        <f t="shared" ref="DV44:DV65" si="96">(DU44*$C$14-BG44)/($C$13-$C$14*CM44)</f>
        <v>49.585674427839407</v>
      </c>
      <c r="DW44" s="9">
        <f t="shared" ref="DW44:DW65" si="97">(DV44*$C$14-BH44)/($C$13-$C$14*CN44)</f>
        <v>48.807524911350981</v>
      </c>
      <c r="DX44" s="9">
        <f t="shared" ref="DX44:DX65" si="98">(DW44*$C$14-BI44)/($C$13-$C$14*CO44)</f>
        <v>48.788668355715188</v>
      </c>
      <c r="DY44" s="9">
        <f t="shared" ref="DY44:DY65" si="99">(DX44*$C$14-BJ44)/($C$13-$C$14*CP44)</f>
        <v>49.470574131508904</v>
      </c>
      <c r="DZ44" s="9">
        <f t="shared" ref="DZ44:DZ65" si="100">(DY44*$C$14-BK44)/($C$13-$C$14*CQ44)</f>
        <v>50.789908348318569</v>
      </c>
      <c r="EA44" s="9">
        <f t="shared" ref="EA44:EA65" si="101">(DZ44*$C$14-BL44)/($C$13-$C$14*CR44)</f>
        <v>52.679225691039278</v>
      </c>
      <c r="EB44" s="9">
        <f t="shared" si="47"/>
        <v>55.067598933429423</v>
      </c>
      <c r="EC44" s="9">
        <f t="shared" si="48"/>
        <v>57.881192536716945</v>
      </c>
      <c r="ED44" s="9">
        <f t="shared" si="49"/>
        <v>61.04378885743165</v>
      </c>
      <c r="EE44" s="9">
        <f t="shared" si="50"/>
        <v>64.477276307953062</v>
      </c>
      <c r="EF44" s="9">
        <f t="shared" si="51"/>
        <v>68.102108618250625</v>
      </c>
      <c r="EG44" s="9">
        <f t="shared" si="52"/>
        <v>71.837743493341407</v>
      </c>
    </row>
    <row r="45" spans="6:137" x14ac:dyDescent="0.3">
      <c r="F45" s="17"/>
      <c r="G45" s="3">
        <v>300</v>
      </c>
      <c r="H45" s="2">
        <f t="shared" ref="H45:H65" si="102">BV45*I45+DD45</f>
        <v>280.28451209215393</v>
      </c>
      <c r="I45" s="2">
        <f t="shared" ref="I45:I65" si="103">BW45*J45+DE45</f>
        <v>260.73576311264429</v>
      </c>
      <c r="J45" s="2">
        <f t="shared" ref="J45:J65" si="104">BX45*K45+DF45</f>
        <v>241.51747131108533</v>
      </c>
      <c r="K45" s="2">
        <f t="shared" si="53"/>
        <v>222.78741419664433</v>
      </c>
      <c r="L45" s="2">
        <f t="shared" si="54"/>
        <v>204.69470412190583</v>
      </c>
      <c r="M45" s="2">
        <f t="shared" si="55"/>
        <v>187.37734377748515</v>
      </c>
      <c r="N45" s="2">
        <f t="shared" si="56"/>
        <v>170.96013071462002</v>
      </c>
      <c r="O45" s="2">
        <f t="shared" si="57"/>
        <v>155.55296157926739</v>
      </c>
      <c r="P45" s="2">
        <f t="shared" si="58"/>
        <v>141.24956633387424</v>
      </c>
      <c r="Q45" s="2">
        <f t="shared" si="59"/>
        <v>128.1266817759153</v>
      </c>
      <c r="R45" s="2">
        <f t="shared" si="60"/>
        <v>116.24365353369214</v>
      </c>
      <c r="S45" s="2">
        <f t="shared" si="61"/>
        <v>105.64243769963892</v>
      </c>
      <c r="T45" s="2">
        <f t="shared" si="62"/>
        <v>96.347958393682063</v>
      </c>
      <c r="U45" s="2">
        <f t="shared" si="63"/>
        <v>88.36876657893616</v>
      </c>
      <c r="V45" s="2">
        <f t="shared" si="64"/>
        <v>81.697938780615601</v>
      </c>
      <c r="W45" s="2">
        <f t="shared" si="65"/>
        <v>76.314152032704584</v>
      </c>
      <c r="X45" s="2">
        <f t="shared" si="66"/>
        <v>72.182873106760809</v>
      </c>
      <c r="Y45" s="2">
        <f t="shared" si="67"/>
        <v>69.257605287816176</v>
      </c>
      <c r="Z45" s="2">
        <f t="shared" si="68"/>
        <v>67.481143862801005</v>
      </c>
      <c r="AA45" s="2">
        <f t="shared" si="69"/>
        <v>66.786801156572579</v>
      </c>
      <c r="AB45" s="2">
        <f t="shared" si="70"/>
        <v>67.099572430483221</v>
      </c>
      <c r="AC45" s="2">
        <f t="shared" si="71"/>
        <v>68.337224339554268</v>
      </c>
      <c r="AD45" s="2">
        <f t="shared" si="72"/>
        <v>70.411297145055244</v>
      </c>
      <c r="AE45" s="2">
        <f t="shared" si="73"/>
        <v>73.228019904484043</v>
      </c>
      <c r="AF45" s="2">
        <f t="shared" si="74"/>
        <v>76.6891440388532</v>
      </c>
      <c r="AG45" s="2">
        <f t="shared" si="75"/>
        <v>80.6927048715837</v>
      </c>
      <c r="AH45" s="2">
        <f t="shared" si="76"/>
        <v>85.133723031206898</v>
      </c>
      <c r="AI45" s="2">
        <f t="shared" si="77"/>
        <v>89.904858287519005</v>
      </c>
      <c r="AJ45" s="2">
        <f t="shared" si="39"/>
        <v>94.897027861362886</v>
      </c>
      <c r="AK45" s="2">
        <v>100</v>
      </c>
      <c r="AM45" s="17"/>
      <c r="AN45" s="9">
        <f t="shared" si="6"/>
        <v>-2483999999.9999995</v>
      </c>
      <c r="AO45" s="9">
        <f t="shared" si="6"/>
        <v>-2320065460.9597211</v>
      </c>
      <c r="AP45" s="9">
        <f t="shared" si="7"/>
        <v>-2157524025.855979</v>
      </c>
      <c r="AQ45" s="9">
        <f t="shared" si="8"/>
        <v>-1997743370.8511176</v>
      </c>
      <c r="AR45" s="9">
        <f t="shared" si="9"/>
        <v>-1842041172.8038464</v>
      </c>
      <c r="AS45" s="9">
        <f t="shared" si="10"/>
        <v>-1691662202.2458639</v>
      </c>
      <c r="AT45" s="9">
        <f t="shared" si="11"/>
        <v>-1547757796.7319367</v>
      </c>
      <c r="AU45" s="9">
        <f t="shared" si="12"/>
        <v>-1411368300.4571517</v>
      </c>
      <c r="AV45" s="9">
        <f t="shared" si="13"/>
        <v>-1283408897.9719014</v>
      </c>
      <c r="AW45" s="9">
        <f t="shared" si="14"/>
        <v>-1164659094.9985008</v>
      </c>
      <c r="AX45" s="9">
        <f t="shared" si="15"/>
        <v>-1055755919.9574324</v>
      </c>
      <c r="AY45" s="9">
        <f t="shared" si="16"/>
        <v>-957190747.88914692</v>
      </c>
      <c r="AZ45" s="9">
        <f t="shared" si="17"/>
        <v>-869309494.92669106</v>
      </c>
      <c r="BA45" s="9">
        <f t="shared" si="18"/>
        <v>-792315805.28607392</v>
      </c>
      <c r="BB45" s="9">
        <f t="shared" si="19"/>
        <v>-726276760.24559021</v>
      </c>
      <c r="BC45" s="9">
        <f t="shared" si="20"/>
        <v>-671130583.15480161</v>
      </c>
      <c r="BD45" s="9">
        <f t="shared" si="21"/>
        <v>-626695796.44784951</v>
      </c>
      <c r="BE45" s="9">
        <f t="shared" si="22"/>
        <v>-592681303.34100282</v>
      </c>
      <c r="BF45" s="9">
        <f t="shared" si="23"/>
        <v>-568696913.31224978</v>
      </c>
      <c r="BG45" s="9">
        <f t="shared" si="24"/>
        <v>-554263899.68821502</v>
      </c>
      <c r="BH45" s="9">
        <f t="shared" si="25"/>
        <v>-548825261.69864511</v>
      </c>
      <c r="BI45" s="9">
        <f t="shared" si="26"/>
        <v>-551755453.89483678</v>
      </c>
      <c r="BJ45" s="9">
        <f t="shared" si="27"/>
        <v>-562369435.02028942</v>
      </c>
      <c r="BK45" s="9">
        <f t="shared" si="28"/>
        <v>-579930969.55179608</v>
      </c>
      <c r="BL45" s="9">
        <f t="shared" si="29"/>
        <v>-603660183.11687446</v>
      </c>
      <c r="BM45" s="9">
        <f t="shared" si="30"/>
        <v>-632740424.71048832</v>
      </c>
      <c r="BN45" s="9">
        <f t="shared" si="31"/>
        <v>-666324523.0033772</v>
      </c>
      <c r="BO45" s="9">
        <f t="shared" si="32"/>
        <v>-703540541.91810083</v>
      </c>
      <c r="BP45" s="9">
        <f t="shared" si="33"/>
        <v>-743497144.54607558</v>
      </c>
      <c r="BQ45" s="9">
        <f t="shared" si="34"/>
        <v>-785288668.07384062</v>
      </c>
      <c r="BR45" s="9">
        <f t="shared" si="35"/>
        <v>-827999999.99999988</v>
      </c>
      <c r="BT45" s="17"/>
      <c r="BU45" s="9">
        <v>0</v>
      </c>
      <c r="BV45" s="9">
        <f t="shared" ref="BV45:CY45" si="105">$C$12/($C$13-BU45*$C$14)</f>
        <v>0.25</v>
      </c>
      <c r="BW45" s="9">
        <f t="shared" si="105"/>
        <v>0.26666666666666666</v>
      </c>
      <c r="BX45" s="9">
        <f t="shared" si="105"/>
        <v>0.26785714285714285</v>
      </c>
      <c r="BY45" s="9">
        <f t="shared" si="105"/>
        <v>0.26794258373205743</v>
      </c>
      <c r="BZ45" s="9">
        <f t="shared" si="105"/>
        <v>0.26794871794871794</v>
      </c>
      <c r="CA45" s="9">
        <f t="shared" si="105"/>
        <v>0.26794915836482308</v>
      </c>
      <c r="CB45" s="9">
        <f t="shared" si="105"/>
        <v>0.26794918998527245</v>
      </c>
      <c r="CC45" s="9">
        <f t="shared" si="105"/>
        <v>0.26794919225551855</v>
      </c>
      <c r="CD45" s="9">
        <f t="shared" si="105"/>
        <v>0.26794919241851489</v>
      </c>
      <c r="CE45" s="9">
        <f t="shared" si="105"/>
        <v>0.26794919243021753</v>
      </c>
      <c r="CF45" s="9">
        <f t="shared" si="105"/>
        <v>0.26794919243105775</v>
      </c>
      <c r="CG45" s="9">
        <f t="shared" si="105"/>
        <v>0.26794919243111803</v>
      </c>
      <c r="CH45" s="9">
        <f t="shared" si="105"/>
        <v>0.26794919243112236</v>
      </c>
      <c r="CI45" s="9">
        <f t="shared" si="105"/>
        <v>0.2679491924311227</v>
      </c>
      <c r="CJ45" s="9">
        <f t="shared" si="105"/>
        <v>0.2679491924311227</v>
      </c>
      <c r="CK45" s="9">
        <f t="shared" si="105"/>
        <v>0.2679491924311227</v>
      </c>
      <c r="CL45" s="9">
        <f t="shared" si="105"/>
        <v>0.2679491924311227</v>
      </c>
      <c r="CM45" s="9">
        <f t="shared" si="105"/>
        <v>0.2679491924311227</v>
      </c>
      <c r="CN45" s="9">
        <f t="shared" si="105"/>
        <v>0.2679491924311227</v>
      </c>
      <c r="CO45" s="9">
        <f t="shared" si="105"/>
        <v>0.2679491924311227</v>
      </c>
      <c r="CP45" s="9">
        <f t="shared" si="105"/>
        <v>0.2679491924311227</v>
      </c>
      <c r="CQ45" s="9">
        <f t="shared" si="105"/>
        <v>0.2679491924311227</v>
      </c>
      <c r="CR45" s="9">
        <f t="shared" si="105"/>
        <v>0.2679491924311227</v>
      </c>
      <c r="CS45" s="9">
        <f t="shared" si="105"/>
        <v>0.2679491924311227</v>
      </c>
      <c r="CT45" s="9">
        <f t="shared" si="105"/>
        <v>0.2679491924311227</v>
      </c>
      <c r="CU45" s="9">
        <f t="shared" si="105"/>
        <v>0.2679491924311227</v>
      </c>
      <c r="CV45" s="9">
        <f t="shared" si="105"/>
        <v>0.2679491924311227</v>
      </c>
      <c r="CW45" s="9">
        <f t="shared" si="105"/>
        <v>0.2679491924311227</v>
      </c>
      <c r="CX45" s="9">
        <f t="shared" si="105"/>
        <v>0.2679491924311227</v>
      </c>
      <c r="CY45" s="9">
        <f t="shared" si="105"/>
        <v>0.2679491924311227</v>
      </c>
      <c r="DB45" s="17"/>
      <c r="DC45" s="9">
        <f t="shared" si="37"/>
        <v>300</v>
      </c>
      <c r="DD45" s="9">
        <f t="shared" si="38"/>
        <v>215.10057131399284</v>
      </c>
      <c r="DE45" s="9">
        <f t="shared" si="79"/>
        <v>196.33110409635489</v>
      </c>
      <c r="DF45" s="9">
        <f t="shared" si="80"/>
        <v>181.84227107984131</v>
      </c>
      <c r="DG45" s="9">
        <f t="shared" si="81"/>
        <v>167.94098629795187</v>
      </c>
      <c r="DH45" s="9">
        <f t="shared" si="82"/>
        <v>154.48718508409249</v>
      </c>
      <c r="DI45" s="9">
        <f t="shared" si="83"/>
        <v>141.56872063856258</v>
      </c>
      <c r="DJ45" s="9">
        <f t="shared" si="84"/>
        <v>129.27984065964512</v>
      </c>
      <c r="DK45" s="9">
        <f t="shared" si="85"/>
        <v>117.70525437366351</v>
      </c>
      <c r="DL45" s="9">
        <f t="shared" si="86"/>
        <v>106.91812542475368</v>
      </c>
      <c r="DM45" s="9">
        <f t="shared" si="87"/>
        <v>96.979288686424496</v>
      </c>
      <c r="DN45" s="9">
        <f t="shared" si="88"/>
        <v>87.936847665625564</v>
      </c>
      <c r="DO45" s="9">
        <f t="shared" si="89"/>
        <v>79.826080055664846</v>
      </c>
      <c r="DP45" s="9">
        <f t="shared" si="90"/>
        <v>72.66961875272176</v>
      </c>
      <c r="DQ45" s="9">
        <f t="shared" si="91"/>
        <v>66.477869859382906</v>
      </c>
      <c r="DR45" s="9">
        <f t="shared" si="92"/>
        <v>61.249623372386495</v>
      </c>
      <c r="DS45" s="9">
        <f t="shared" si="93"/>
        <v>56.972809476389827</v>
      </c>
      <c r="DT45" s="9">
        <f t="shared" si="94"/>
        <v>53.625353700177008</v>
      </c>
      <c r="DU45" s="9">
        <f t="shared" si="95"/>
        <v>51.17608728545023</v>
      </c>
      <c r="DV45" s="9">
        <f t="shared" si="96"/>
        <v>49.585674427839407</v>
      </c>
      <c r="DW45" s="9">
        <f t="shared" si="97"/>
        <v>48.807524911350981</v>
      </c>
      <c r="DX45" s="9">
        <f t="shared" si="98"/>
        <v>48.788668355715188</v>
      </c>
      <c r="DY45" s="9">
        <f t="shared" si="99"/>
        <v>49.470574131508904</v>
      </c>
      <c r="DZ45" s="9">
        <f t="shared" si="100"/>
        <v>50.789908348318569</v>
      </c>
      <c r="EA45" s="9">
        <f t="shared" si="101"/>
        <v>52.679225691039278</v>
      </c>
      <c r="EB45" s="9">
        <f t="shared" si="47"/>
        <v>55.067598933429423</v>
      </c>
      <c r="EC45" s="9">
        <f t="shared" si="48"/>
        <v>57.881192536716945</v>
      </c>
      <c r="ED45" s="9">
        <f t="shared" si="49"/>
        <v>61.04378885743165</v>
      </c>
      <c r="EE45" s="9">
        <f t="shared" si="50"/>
        <v>64.477276307953062</v>
      </c>
      <c r="EF45" s="9">
        <f t="shared" si="51"/>
        <v>68.102108618250625</v>
      </c>
      <c r="EG45" s="9">
        <f t="shared" si="52"/>
        <v>71.837743493341407</v>
      </c>
    </row>
    <row r="46" spans="6:137" x14ac:dyDescent="0.3">
      <c r="F46" s="17"/>
      <c r="G46" s="3">
        <v>300</v>
      </c>
      <c r="H46" s="2">
        <f t="shared" si="102"/>
        <v>280.28451209215393</v>
      </c>
      <c r="I46" s="2">
        <f t="shared" si="103"/>
        <v>260.73576311264429</v>
      </c>
      <c r="J46" s="2">
        <f t="shared" si="104"/>
        <v>241.51747131108533</v>
      </c>
      <c r="K46" s="2">
        <f t="shared" si="53"/>
        <v>222.78741419664433</v>
      </c>
      <c r="L46" s="2">
        <f t="shared" si="54"/>
        <v>204.69470412190583</v>
      </c>
      <c r="M46" s="2">
        <f t="shared" si="55"/>
        <v>187.37734377748515</v>
      </c>
      <c r="N46" s="2">
        <f t="shared" si="56"/>
        <v>170.96013071462002</v>
      </c>
      <c r="O46" s="2">
        <f t="shared" si="57"/>
        <v>155.55296157926739</v>
      </c>
      <c r="P46" s="2">
        <f t="shared" si="58"/>
        <v>141.24956633387424</v>
      </c>
      <c r="Q46" s="2">
        <f t="shared" si="59"/>
        <v>128.1266817759153</v>
      </c>
      <c r="R46" s="2">
        <f t="shared" si="60"/>
        <v>116.24365353369214</v>
      </c>
      <c r="S46" s="2">
        <f t="shared" si="61"/>
        <v>105.64243769963892</v>
      </c>
      <c r="T46" s="2">
        <f t="shared" si="62"/>
        <v>96.347958393682063</v>
      </c>
      <c r="U46" s="2">
        <f t="shared" si="63"/>
        <v>88.36876657893616</v>
      </c>
      <c r="V46" s="2">
        <f t="shared" si="64"/>
        <v>81.697938780615601</v>
      </c>
      <c r="W46" s="2">
        <f t="shared" si="65"/>
        <v>76.314152032704584</v>
      </c>
      <c r="X46" s="2">
        <f t="shared" si="66"/>
        <v>72.182873106760809</v>
      </c>
      <c r="Y46" s="2">
        <f t="shared" si="67"/>
        <v>69.257605287816176</v>
      </c>
      <c r="Z46" s="2">
        <f t="shared" si="68"/>
        <v>67.481143862801005</v>
      </c>
      <c r="AA46" s="2">
        <f t="shared" si="69"/>
        <v>66.786801156572579</v>
      </c>
      <c r="AB46" s="2">
        <f t="shared" si="70"/>
        <v>67.099572430483221</v>
      </c>
      <c r="AC46" s="2">
        <f t="shared" si="71"/>
        <v>68.337224339554268</v>
      </c>
      <c r="AD46" s="2">
        <f t="shared" si="72"/>
        <v>70.411297145055244</v>
      </c>
      <c r="AE46" s="2">
        <f t="shared" si="73"/>
        <v>73.228019904484029</v>
      </c>
      <c r="AF46" s="2">
        <f t="shared" si="74"/>
        <v>76.689144038853186</v>
      </c>
      <c r="AG46" s="2">
        <f t="shared" si="75"/>
        <v>80.6927048715837</v>
      </c>
      <c r="AH46" s="2">
        <f t="shared" si="76"/>
        <v>85.133723031206898</v>
      </c>
      <c r="AI46" s="2">
        <f t="shared" si="77"/>
        <v>89.904858287519005</v>
      </c>
      <c r="AJ46" s="2">
        <f t="shared" si="39"/>
        <v>94.897027861362886</v>
      </c>
      <c r="AK46" s="2">
        <v>100</v>
      </c>
      <c r="AM46" s="17"/>
      <c r="AN46" s="9">
        <f t="shared" si="6"/>
        <v>-2483999999.9999995</v>
      </c>
      <c r="AO46" s="9">
        <f t="shared" si="6"/>
        <v>-2320065460.9597211</v>
      </c>
      <c r="AP46" s="9">
        <f t="shared" si="7"/>
        <v>-2157524025.855979</v>
      </c>
      <c r="AQ46" s="9">
        <f t="shared" si="8"/>
        <v>-1997743370.8511176</v>
      </c>
      <c r="AR46" s="9">
        <f t="shared" si="9"/>
        <v>-1842041172.8038464</v>
      </c>
      <c r="AS46" s="9">
        <f t="shared" si="10"/>
        <v>-1691662202.2458639</v>
      </c>
      <c r="AT46" s="9">
        <f t="shared" si="11"/>
        <v>-1547757796.7319367</v>
      </c>
      <c r="AU46" s="9">
        <f t="shared" si="12"/>
        <v>-1411368300.4571517</v>
      </c>
      <c r="AV46" s="9">
        <f t="shared" si="13"/>
        <v>-1283408897.9719014</v>
      </c>
      <c r="AW46" s="9">
        <f t="shared" si="14"/>
        <v>-1164659094.9985008</v>
      </c>
      <c r="AX46" s="9">
        <f t="shared" si="15"/>
        <v>-1055755919.9574324</v>
      </c>
      <c r="AY46" s="9">
        <f t="shared" si="16"/>
        <v>-957190747.88914692</v>
      </c>
      <c r="AZ46" s="9">
        <f t="shared" si="17"/>
        <v>-869309494.92669106</v>
      </c>
      <c r="BA46" s="9">
        <f t="shared" si="18"/>
        <v>-792315805.28607392</v>
      </c>
      <c r="BB46" s="9">
        <f t="shared" si="19"/>
        <v>-726276760.24559021</v>
      </c>
      <c r="BC46" s="9">
        <f t="shared" si="20"/>
        <v>-671130583.15480161</v>
      </c>
      <c r="BD46" s="9">
        <f t="shared" si="21"/>
        <v>-626695796.44784951</v>
      </c>
      <c r="BE46" s="9">
        <f t="shared" si="22"/>
        <v>-592681303.34100282</v>
      </c>
      <c r="BF46" s="9">
        <f t="shared" si="23"/>
        <v>-568696913.31224978</v>
      </c>
      <c r="BG46" s="9">
        <f t="shared" si="24"/>
        <v>-554263899.68821502</v>
      </c>
      <c r="BH46" s="9">
        <f t="shared" si="25"/>
        <v>-548825261.69864511</v>
      </c>
      <c r="BI46" s="9">
        <f t="shared" si="26"/>
        <v>-551755453.89483678</v>
      </c>
      <c r="BJ46" s="9">
        <f t="shared" si="27"/>
        <v>-562369435.02028942</v>
      </c>
      <c r="BK46" s="9">
        <f t="shared" si="28"/>
        <v>-579930969.55179608</v>
      </c>
      <c r="BL46" s="9">
        <f t="shared" si="29"/>
        <v>-603660183.11687446</v>
      </c>
      <c r="BM46" s="9">
        <f t="shared" si="30"/>
        <v>-632740424.7104882</v>
      </c>
      <c r="BN46" s="9">
        <f t="shared" si="31"/>
        <v>-666324523.0033772</v>
      </c>
      <c r="BO46" s="9">
        <f t="shared" si="32"/>
        <v>-703540541.91810083</v>
      </c>
      <c r="BP46" s="9">
        <f t="shared" si="33"/>
        <v>-743497144.54607558</v>
      </c>
      <c r="BQ46" s="9">
        <f t="shared" si="34"/>
        <v>-785288668.07384062</v>
      </c>
      <c r="BR46" s="9">
        <f t="shared" si="35"/>
        <v>-827999999.99999988</v>
      </c>
      <c r="BT46" s="17"/>
      <c r="BU46" s="9">
        <v>0</v>
      </c>
      <c r="BV46" s="9">
        <f t="shared" ref="BV46:CY46" si="106">$C$12/($C$13-BU46*$C$14)</f>
        <v>0.25</v>
      </c>
      <c r="BW46" s="9">
        <f t="shared" si="106"/>
        <v>0.26666666666666666</v>
      </c>
      <c r="BX46" s="9">
        <f t="shared" si="106"/>
        <v>0.26785714285714285</v>
      </c>
      <c r="BY46" s="9">
        <f t="shared" si="106"/>
        <v>0.26794258373205743</v>
      </c>
      <c r="BZ46" s="9">
        <f t="shared" si="106"/>
        <v>0.26794871794871794</v>
      </c>
      <c r="CA46" s="9">
        <f t="shared" si="106"/>
        <v>0.26794915836482308</v>
      </c>
      <c r="CB46" s="9">
        <f t="shared" si="106"/>
        <v>0.26794918998527245</v>
      </c>
      <c r="CC46" s="9">
        <f t="shared" si="106"/>
        <v>0.26794919225551855</v>
      </c>
      <c r="CD46" s="9">
        <f t="shared" si="106"/>
        <v>0.26794919241851489</v>
      </c>
      <c r="CE46" s="9">
        <f t="shared" si="106"/>
        <v>0.26794919243021753</v>
      </c>
      <c r="CF46" s="9">
        <f t="shared" si="106"/>
        <v>0.26794919243105775</v>
      </c>
      <c r="CG46" s="9">
        <f t="shared" si="106"/>
        <v>0.26794919243111803</v>
      </c>
      <c r="CH46" s="9">
        <f t="shared" si="106"/>
        <v>0.26794919243112236</v>
      </c>
      <c r="CI46" s="9">
        <f t="shared" si="106"/>
        <v>0.2679491924311227</v>
      </c>
      <c r="CJ46" s="9">
        <f t="shared" si="106"/>
        <v>0.2679491924311227</v>
      </c>
      <c r="CK46" s="9">
        <f t="shared" si="106"/>
        <v>0.2679491924311227</v>
      </c>
      <c r="CL46" s="9">
        <f t="shared" si="106"/>
        <v>0.2679491924311227</v>
      </c>
      <c r="CM46" s="9">
        <f t="shared" si="106"/>
        <v>0.2679491924311227</v>
      </c>
      <c r="CN46" s="9">
        <f t="shared" si="106"/>
        <v>0.2679491924311227</v>
      </c>
      <c r="CO46" s="9">
        <f t="shared" si="106"/>
        <v>0.2679491924311227</v>
      </c>
      <c r="CP46" s="9">
        <f t="shared" si="106"/>
        <v>0.2679491924311227</v>
      </c>
      <c r="CQ46" s="9">
        <f t="shared" si="106"/>
        <v>0.2679491924311227</v>
      </c>
      <c r="CR46" s="9">
        <f t="shared" si="106"/>
        <v>0.2679491924311227</v>
      </c>
      <c r="CS46" s="9">
        <f t="shared" si="106"/>
        <v>0.2679491924311227</v>
      </c>
      <c r="CT46" s="9">
        <f t="shared" si="106"/>
        <v>0.2679491924311227</v>
      </c>
      <c r="CU46" s="9">
        <f t="shared" si="106"/>
        <v>0.2679491924311227</v>
      </c>
      <c r="CV46" s="9">
        <f t="shared" si="106"/>
        <v>0.2679491924311227</v>
      </c>
      <c r="CW46" s="9">
        <f t="shared" si="106"/>
        <v>0.2679491924311227</v>
      </c>
      <c r="CX46" s="9">
        <f t="shared" si="106"/>
        <v>0.2679491924311227</v>
      </c>
      <c r="CY46" s="9">
        <f t="shared" si="106"/>
        <v>0.2679491924311227</v>
      </c>
      <c r="DB46" s="17"/>
      <c r="DC46" s="9">
        <f t="shared" si="37"/>
        <v>300</v>
      </c>
      <c r="DD46" s="9">
        <f t="shared" si="38"/>
        <v>215.10057131399284</v>
      </c>
      <c r="DE46" s="9">
        <f t="shared" si="79"/>
        <v>196.33110409635489</v>
      </c>
      <c r="DF46" s="9">
        <f t="shared" si="80"/>
        <v>181.84227107984131</v>
      </c>
      <c r="DG46" s="9">
        <f t="shared" si="81"/>
        <v>167.94098629795187</v>
      </c>
      <c r="DH46" s="9">
        <f t="shared" si="82"/>
        <v>154.48718508409249</v>
      </c>
      <c r="DI46" s="9">
        <f t="shared" si="83"/>
        <v>141.56872063856258</v>
      </c>
      <c r="DJ46" s="9">
        <f t="shared" si="84"/>
        <v>129.27984065964512</v>
      </c>
      <c r="DK46" s="9">
        <f t="shared" si="85"/>
        <v>117.70525437366351</v>
      </c>
      <c r="DL46" s="9">
        <f t="shared" si="86"/>
        <v>106.91812542475368</v>
      </c>
      <c r="DM46" s="9">
        <f t="shared" si="87"/>
        <v>96.979288686424496</v>
      </c>
      <c r="DN46" s="9">
        <f t="shared" si="88"/>
        <v>87.936847665625564</v>
      </c>
      <c r="DO46" s="9">
        <f t="shared" si="89"/>
        <v>79.826080055664846</v>
      </c>
      <c r="DP46" s="9">
        <f t="shared" si="90"/>
        <v>72.66961875272176</v>
      </c>
      <c r="DQ46" s="9">
        <f t="shared" si="91"/>
        <v>66.477869859382906</v>
      </c>
      <c r="DR46" s="9">
        <f t="shared" si="92"/>
        <v>61.249623372386495</v>
      </c>
      <c r="DS46" s="9">
        <f t="shared" si="93"/>
        <v>56.972809476389827</v>
      </c>
      <c r="DT46" s="9">
        <f t="shared" si="94"/>
        <v>53.625353700177008</v>
      </c>
      <c r="DU46" s="9">
        <f t="shared" si="95"/>
        <v>51.17608728545023</v>
      </c>
      <c r="DV46" s="9">
        <f t="shared" si="96"/>
        <v>49.585674427839407</v>
      </c>
      <c r="DW46" s="9">
        <f t="shared" si="97"/>
        <v>48.807524911350981</v>
      </c>
      <c r="DX46" s="9">
        <f t="shared" si="98"/>
        <v>48.788668355715188</v>
      </c>
      <c r="DY46" s="9">
        <f t="shared" si="99"/>
        <v>49.470574131508904</v>
      </c>
      <c r="DZ46" s="9">
        <f t="shared" si="100"/>
        <v>50.789908348318569</v>
      </c>
      <c r="EA46" s="9">
        <f t="shared" si="101"/>
        <v>52.679225691039278</v>
      </c>
      <c r="EB46" s="9">
        <f t="shared" si="47"/>
        <v>55.067598933429416</v>
      </c>
      <c r="EC46" s="9">
        <f t="shared" si="48"/>
        <v>57.881192536716945</v>
      </c>
      <c r="ED46" s="9">
        <f t="shared" si="49"/>
        <v>61.04378885743165</v>
      </c>
      <c r="EE46" s="9">
        <f t="shared" si="50"/>
        <v>64.477276307953062</v>
      </c>
      <c r="EF46" s="9">
        <f t="shared" si="51"/>
        <v>68.102108618250625</v>
      </c>
      <c r="EG46" s="9">
        <f t="shared" si="52"/>
        <v>71.837743493341407</v>
      </c>
    </row>
    <row r="47" spans="6:137" x14ac:dyDescent="0.3">
      <c r="F47" s="17"/>
      <c r="G47" s="3">
        <v>300</v>
      </c>
      <c r="H47" s="2">
        <f t="shared" si="102"/>
        <v>280.28451209215393</v>
      </c>
      <c r="I47" s="2">
        <f t="shared" si="103"/>
        <v>260.73576311264429</v>
      </c>
      <c r="J47" s="2">
        <f t="shared" si="104"/>
        <v>241.51747131108533</v>
      </c>
      <c r="K47" s="2">
        <f t="shared" si="53"/>
        <v>222.78741419664433</v>
      </c>
      <c r="L47" s="2">
        <f t="shared" si="54"/>
        <v>204.69470412190583</v>
      </c>
      <c r="M47" s="2">
        <f t="shared" si="55"/>
        <v>187.37734377748515</v>
      </c>
      <c r="N47" s="2">
        <f t="shared" si="56"/>
        <v>170.96013071462002</v>
      </c>
      <c r="O47" s="2">
        <f t="shared" si="57"/>
        <v>155.55296157926739</v>
      </c>
      <c r="P47" s="2">
        <f t="shared" si="58"/>
        <v>141.24956633387424</v>
      </c>
      <c r="Q47" s="2">
        <f t="shared" si="59"/>
        <v>128.1266817759153</v>
      </c>
      <c r="R47" s="2">
        <f t="shared" si="60"/>
        <v>116.24365353369214</v>
      </c>
      <c r="S47" s="2">
        <f t="shared" si="61"/>
        <v>105.64243769963892</v>
      </c>
      <c r="T47" s="2">
        <f t="shared" si="62"/>
        <v>96.347958393682063</v>
      </c>
      <c r="U47" s="2">
        <f t="shared" si="63"/>
        <v>88.36876657893616</v>
      </c>
      <c r="V47" s="2">
        <f t="shared" si="64"/>
        <v>81.697938780615601</v>
      </c>
      <c r="W47" s="2">
        <f t="shared" si="65"/>
        <v>76.314152032704584</v>
      </c>
      <c r="X47" s="2">
        <f t="shared" si="66"/>
        <v>72.182873106760795</v>
      </c>
      <c r="Y47" s="2">
        <f t="shared" si="67"/>
        <v>69.257605287816176</v>
      </c>
      <c r="Z47" s="2">
        <f t="shared" si="68"/>
        <v>67.481143862801005</v>
      </c>
      <c r="AA47" s="2">
        <f t="shared" si="69"/>
        <v>66.786801156572579</v>
      </c>
      <c r="AB47" s="2">
        <f t="shared" si="70"/>
        <v>67.099572430483207</v>
      </c>
      <c r="AC47" s="2">
        <f t="shared" si="71"/>
        <v>68.337224339554268</v>
      </c>
      <c r="AD47" s="2">
        <f t="shared" si="72"/>
        <v>70.411297145055229</v>
      </c>
      <c r="AE47" s="2">
        <f t="shared" si="73"/>
        <v>73.228019904484015</v>
      </c>
      <c r="AF47" s="2">
        <f t="shared" si="74"/>
        <v>76.689144038853186</v>
      </c>
      <c r="AG47" s="2">
        <f t="shared" si="75"/>
        <v>80.6927048715837</v>
      </c>
      <c r="AH47" s="2">
        <f t="shared" si="76"/>
        <v>85.133723031206898</v>
      </c>
      <c r="AI47" s="2">
        <f t="shared" si="77"/>
        <v>89.904858287519005</v>
      </c>
      <c r="AJ47" s="2">
        <f t="shared" si="39"/>
        <v>94.897027861362886</v>
      </c>
      <c r="AK47" s="2">
        <v>100</v>
      </c>
      <c r="AM47" s="17"/>
      <c r="AN47" s="9">
        <f t="shared" si="6"/>
        <v>-2483999999.9999995</v>
      </c>
      <c r="AO47" s="9">
        <f t="shared" si="6"/>
        <v>-2320065460.9597211</v>
      </c>
      <c r="AP47" s="9">
        <f t="shared" si="7"/>
        <v>-2157524025.855979</v>
      </c>
      <c r="AQ47" s="9">
        <f t="shared" si="8"/>
        <v>-1997743370.8511176</v>
      </c>
      <c r="AR47" s="9">
        <f t="shared" si="9"/>
        <v>-1842041172.8038464</v>
      </c>
      <c r="AS47" s="9">
        <f t="shared" si="10"/>
        <v>-1691662202.2458639</v>
      </c>
      <c r="AT47" s="9">
        <f t="shared" si="11"/>
        <v>-1547757796.7319367</v>
      </c>
      <c r="AU47" s="9">
        <f t="shared" si="12"/>
        <v>-1411368300.4571517</v>
      </c>
      <c r="AV47" s="9">
        <f t="shared" si="13"/>
        <v>-1283408897.9719014</v>
      </c>
      <c r="AW47" s="9">
        <f t="shared" si="14"/>
        <v>-1164659094.9985008</v>
      </c>
      <c r="AX47" s="9">
        <f t="shared" si="15"/>
        <v>-1055755919.9574324</v>
      </c>
      <c r="AY47" s="9">
        <f t="shared" si="16"/>
        <v>-957190747.88914692</v>
      </c>
      <c r="AZ47" s="9">
        <f t="shared" si="17"/>
        <v>-869309494.92669106</v>
      </c>
      <c r="BA47" s="9">
        <f t="shared" si="18"/>
        <v>-792315805.28607392</v>
      </c>
      <c r="BB47" s="9">
        <f t="shared" si="19"/>
        <v>-726276760.24559021</v>
      </c>
      <c r="BC47" s="9">
        <f t="shared" si="20"/>
        <v>-671130583.15480149</v>
      </c>
      <c r="BD47" s="9">
        <f t="shared" si="21"/>
        <v>-626695796.44784951</v>
      </c>
      <c r="BE47" s="9">
        <f t="shared" si="22"/>
        <v>-592681303.3410027</v>
      </c>
      <c r="BF47" s="9">
        <f t="shared" si="23"/>
        <v>-568696913.31224978</v>
      </c>
      <c r="BG47" s="9">
        <f t="shared" si="24"/>
        <v>-554263899.68821502</v>
      </c>
      <c r="BH47" s="9">
        <f t="shared" si="25"/>
        <v>-548825261.69864511</v>
      </c>
      <c r="BI47" s="9">
        <f t="shared" si="26"/>
        <v>-551755453.89483666</v>
      </c>
      <c r="BJ47" s="9">
        <f t="shared" si="27"/>
        <v>-562369435.02028942</v>
      </c>
      <c r="BK47" s="9">
        <f t="shared" si="28"/>
        <v>-579930969.55179596</v>
      </c>
      <c r="BL47" s="9">
        <f t="shared" si="29"/>
        <v>-603660183.11687434</v>
      </c>
      <c r="BM47" s="9">
        <f t="shared" si="30"/>
        <v>-632740424.71048808</v>
      </c>
      <c r="BN47" s="9">
        <f t="shared" si="31"/>
        <v>-666324523.0033772</v>
      </c>
      <c r="BO47" s="9">
        <f t="shared" si="32"/>
        <v>-703540541.91810083</v>
      </c>
      <c r="BP47" s="9">
        <f t="shared" si="33"/>
        <v>-743497144.54607558</v>
      </c>
      <c r="BQ47" s="9">
        <f t="shared" si="34"/>
        <v>-785288668.07384062</v>
      </c>
      <c r="BR47" s="9">
        <f t="shared" si="35"/>
        <v>-827999999.99999988</v>
      </c>
      <c r="BT47" s="17"/>
      <c r="BU47" s="9">
        <v>0</v>
      </c>
      <c r="BV47" s="9">
        <f t="shared" ref="BV47:CY47" si="107">$C$12/($C$13-BU47*$C$14)</f>
        <v>0.25</v>
      </c>
      <c r="BW47" s="9">
        <f t="shared" si="107"/>
        <v>0.26666666666666666</v>
      </c>
      <c r="BX47" s="9">
        <f t="shared" si="107"/>
        <v>0.26785714285714285</v>
      </c>
      <c r="BY47" s="9">
        <f t="shared" si="107"/>
        <v>0.26794258373205743</v>
      </c>
      <c r="BZ47" s="9">
        <f t="shared" si="107"/>
        <v>0.26794871794871794</v>
      </c>
      <c r="CA47" s="9">
        <f t="shared" si="107"/>
        <v>0.26794915836482308</v>
      </c>
      <c r="CB47" s="9">
        <f t="shared" si="107"/>
        <v>0.26794918998527245</v>
      </c>
      <c r="CC47" s="9">
        <f t="shared" si="107"/>
        <v>0.26794919225551855</v>
      </c>
      <c r="CD47" s="9">
        <f t="shared" si="107"/>
        <v>0.26794919241851489</v>
      </c>
      <c r="CE47" s="9">
        <f t="shared" si="107"/>
        <v>0.26794919243021753</v>
      </c>
      <c r="CF47" s="9">
        <f t="shared" si="107"/>
        <v>0.26794919243105775</v>
      </c>
      <c r="CG47" s="9">
        <f t="shared" si="107"/>
        <v>0.26794919243111803</v>
      </c>
      <c r="CH47" s="9">
        <f t="shared" si="107"/>
        <v>0.26794919243112236</v>
      </c>
      <c r="CI47" s="9">
        <f t="shared" si="107"/>
        <v>0.2679491924311227</v>
      </c>
      <c r="CJ47" s="9">
        <f t="shared" si="107"/>
        <v>0.2679491924311227</v>
      </c>
      <c r="CK47" s="9">
        <f t="shared" si="107"/>
        <v>0.2679491924311227</v>
      </c>
      <c r="CL47" s="9">
        <f t="shared" si="107"/>
        <v>0.2679491924311227</v>
      </c>
      <c r="CM47" s="9">
        <f t="shared" si="107"/>
        <v>0.2679491924311227</v>
      </c>
      <c r="CN47" s="9">
        <f t="shared" si="107"/>
        <v>0.2679491924311227</v>
      </c>
      <c r="CO47" s="9">
        <f t="shared" si="107"/>
        <v>0.2679491924311227</v>
      </c>
      <c r="CP47" s="9">
        <f t="shared" si="107"/>
        <v>0.2679491924311227</v>
      </c>
      <c r="CQ47" s="9">
        <f t="shared" si="107"/>
        <v>0.2679491924311227</v>
      </c>
      <c r="CR47" s="9">
        <f t="shared" si="107"/>
        <v>0.2679491924311227</v>
      </c>
      <c r="CS47" s="9">
        <f t="shared" si="107"/>
        <v>0.2679491924311227</v>
      </c>
      <c r="CT47" s="9">
        <f t="shared" si="107"/>
        <v>0.2679491924311227</v>
      </c>
      <c r="CU47" s="9">
        <f t="shared" si="107"/>
        <v>0.2679491924311227</v>
      </c>
      <c r="CV47" s="9">
        <f t="shared" si="107"/>
        <v>0.2679491924311227</v>
      </c>
      <c r="CW47" s="9">
        <f t="shared" si="107"/>
        <v>0.2679491924311227</v>
      </c>
      <c r="CX47" s="9">
        <f t="shared" si="107"/>
        <v>0.2679491924311227</v>
      </c>
      <c r="CY47" s="9">
        <f t="shared" si="107"/>
        <v>0.2679491924311227</v>
      </c>
      <c r="DB47" s="17"/>
      <c r="DC47" s="9">
        <f t="shared" si="37"/>
        <v>300</v>
      </c>
      <c r="DD47" s="9">
        <f t="shared" si="38"/>
        <v>215.10057131399284</v>
      </c>
      <c r="DE47" s="9">
        <f t="shared" si="79"/>
        <v>196.33110409635489</v>
      </c>
      <c r="DF47" s="9">
        <f t="shared" si="80"/>
        <v>181.84227107984131</v>
      </c>
      <c r="DG47" s="9">
        <f t="shared" si="81"/>
        <v>167.94098629795187</v>
      </c>
      <c r="DH47" s="9">
        <f t="shared" si="82"/>
        <v>154.48718508409249</v>
      </c>
      <c r="DI47" s="9">
        <f t="shared" si="83"/>
        <v>141.56872063856258</v>
      </c>
      <c r="DJ47" s="9">
        <f t="shared" si="84"/>
        <v>129.27984065964512</v>
      </c>
      <c r="DK47" s="9">
        <f t="shared" si="85"/>
        <v>117.70525437366351</v>
      </c>
      <c r="DL47" s="9">
        <f t="shared" si="86"/>
        <v>106.91812542475368</v>
      </c>
      <c r="DM47" s="9">
        <f t="shared" si="87"/>
        <v>96.979288686424496</v>
      </c>
      <c r="DN47" s="9">
        <f t="shared" si="88"/>
        <v>87.936847665625564</v>
      </c>
      <c r="DO47" s="9">
        <f t="shared" si="89"/>
        <v>79.826080055664846</v>
      </c>
      <c r="DP47" s="9">
        <f t="shared" si="90"/>
        <v>72.66961875272176</v>
      </c>
      <c r="DQ47" s="9">
        <f t="shared" si="91"/>
        <v>66.477869859382906</v>
      </c>
      <c r="DR47" s="9">
        <f t="shared" si="92"/>
        <v>61.24962337238648</v>
      </c>
      <c r="DS47" s="9">
        <f t="shared" si="93"/>
        <v>56.972809476389827</v>
      </c>
      <c r="DT47" s="9">
        <f t="shared" si="94"/>
        <v>53.625353700177001</v>
      </c>
      <c r="DU47" s="9">
        <f t="shared" si="95"/>
        <v>51.17608728545023</v>
      </c>
      <c r="DV47" s="9">
        <f t="shared" si="96"/>
        <v>49.585674427839407</v>
      </c>
      <c r="DW47" s="9">
        <f t="shared" si="97"/>
        <v>48.807524911350981</v>
      </c>
      <c r="DX47" s="9">
        <f t="shared" si="98"/>
        <v>48.788668355715181</v>
      </c>
      <c r="DY47" s="9">
        <f t="shared" si="99"/>
        <v>49.470574131508904</v>
      </c>
      <c r="DZ47" s="9">
        <f t="shared" si="100"/>
        <v>50.789908348318562</v>
      </c>
      <c r="EA47" s="9">
        <f t="shared" si="101"/>
        <v>52.679225691039257</v>
      </c>
      <c r="EB47" s="9">
        <f t="shared" si="47"/>
        <v>55.067598933429409</v>
      </c>
      <c r="EC47" s="9">
        <f t="shared" si="48"/>
        <v>57.881192536716938</v>
      </c>
      <c r="ED47" s="9">
        <f t="shared" si="49"/>
        <v>61.04378885743165</v>
      </c>
      <c r="EE47" s="9">
        <f t="shared" si="50"/>
        <v>64.477276307953062</v>
      </c>
      <c r="EF47" s="9">
        <f t="shared" si="51"/>
        <v>68.102108618250625</v>
      </c>
      <c r="EG47" s="9">
        <f t="shared" si="52"/>
        <v>71.837743493341407</v>
      </c>
    </row>
    <row r="48" spans="6:137" x14ac:dyDescent="0.3">
      <c r="F48" s="17"/>
      <c r="G48" s="3">
        <v>300</v>
      </c>
      <c r="H48" s="2">
        <f>BV48*I48+DD48</f>
        <v>280.28451209215393</v>
      </c>
      <c r="I48" s="2">
        <f t="shared" si="103"/>
        <v>260.73576311264429</v>
      </c>
      <c r="J48" s="2">
        <f t="shared" si="104"/>
        <v>241.51747131108533</v>
      </c>
      <c r="K48" s="2">
        <f t="shared" si="53"/>
        <v>222.78741419664433</v>
      </c>
      <c r="L48" s="2">
        <f t="shared" si="54"/>
        <v>204.69470412190583</v>
      </c>
      <c r="M48" s="2">
        <f t="shared" si="55"/>
        <v>187.37734377748515</v>
      </c>
      <c r="N48" s="2">
        <f t="shared" si="56"/>
        <v>170.96013071462002</v>
      </c>
      <c r="O48" s="2">
        <f t="shared" si="57"/>
        <v>155.55296157926739</v>
      </c>
      <c r="P48" s="2">
        <f t="shared" si="58"/>
        <v>141.24956633387424</v>
      </c>
      <c r="Q48" s="2">
        <f t="shared" si="59"/>
        <v>128.1266817759153</v>
      </c>
      <c r="R48" s="2">
        <f t="shared" si="60"/>
        <v>116.24365353369214</v>
      </c>
      <c r="S48" s="2">
        <f t="shared" si="61"/>
        <v>105.64243769963892</v>
      </c>
      <c r="T48" s="2">
        <f t="shared" si="62"/>
        <v>96.347958393682063</v>
      </c>
      <c r="U48" s="2">
        <f t="shared" si="63"/>
        <v>88.368766578936146</v>
      </c>
      <c r="V48" s="2">
        <f t="shared" si="64"/>
        <v>81.697938780615573</v>
      </c>
      <c r="W48" s="2">
        <f t="shared" si="65"/>
        <v>76.31415203270457</v>
      </c>
      <c r="X48" s="2">
        <f t="shared" si="66"/>
        <v>72.182873106760766</v>
      </c>
      <c r="Y48" s="2">
        <f t="shared" si="67"/>
        <v>69.257605287816148</v>
      </c>
      <c r="Z48" s="2">
        <f t="shared" si="68"/>
        <v>67.481143862800991</v>
      </c>
      <c r="AA48" s="2">
        <f t="shared" si="69"/>
        <v>66.786801156572579</v>
      </c>
      <c r="AB48" s="2">
        <f t="shared" si="70"/>
        <v>67.099572430483207</v>
      </c>
      <c r="AC48" s="2">
        <f t="shared" si="71"/>
        <v>68.337224339554268</v>
      </c>
      <c r="AD48" s="2">
        <f t="shared" si="72"/>
        <v>70.411297145055229</v>
      </c>
      <c r="AE48" s="2">
        <f t="shared" si="73"/>
        <v>73.228019904484015</v>
      </c>
      <c r="AF48" s="2">
        <f t="shared" si="74"/>
        <v>76.689144038853186</v>
      </c>
      <c r="AG48" s="2">
        <f t="shared" si="75"/>
        <v>80.6927048715837</v>
      </c>
      <c r="AH48" s="2">
        <f t="shared" si="76"/>
        <v>85.133723031206898</v>
      </c>
      <c r="AI48" s="2">
        <f t="shared" si="77"/>
        <v>89.904858287519005</v>
      </c>
      <c r="AJ48" s="2">
        <f t="shared" si="39"/>
        <v>94.897027861362886</v>
      </c>
      <c r="AK48" s="2">
        <v>100</v>
      </c>
      <c r="AM48" s="17"/>
      <c r="AN48" s="9">
        <f t="shared" si="6"/>
        <v>-2483999999.9999995</v>
      </c>
      <c r="AO48" s="9">
        <f t="shared" si="6"/>
        <v>-2320065460.9597211</v>
      </c>
      <c r="AP48" s="9">
        <f t="shared" si="7"/>
        <v>-2157524025.855979</v>
      </c>
      <c r="AQ48" s="9">
        <f t="shared" si="8"/>
        <v>-1997743370.8511176</v>
      </c>
      <c r="AR48" s="9">
        <f t="shared" si="9"/>
        <v>-1842041172.8038464</v>
      </c>
      <c r="AS48" s="9">
        <f t="shared" si="10"/>
        <v>-1691662202.2458639</v>
      </c>
      <c r="AT48" s="9">
        <f t="shared" si="11"/>
        <v>-1547757796.7319367</v>
      </c>
      <c r="AU48" s="9">
        <f t="shared" si="12"/>
        <v>-1411368300.4571517</v>
      </c>
      <c r="AV48" s="9">
        <f t="shared" si="13"/>
        <v>-1283408897.9719014</v>
      </c>
      <c r="AW48" s="9">
        <f t="shared" si="14"/>
        <v>-1164659094.9985008</v>
      </c>
      <c r="AX48" s="9">
        <f t="shared" si="15"/>
        <v>-1055755919.9574322</v>
      </c>
      <c r="AY48" s="9">
        <f t="shared" si="16"/>
        <v>-957190747.88914692</v>
      </c>
      <c r="AZ48" s="9">
        <f t="shared" si="17"/>
        <v>-869309494.92669106</v>
      </c>
      <c r="BA48" s="9">
        <f t="shared" si="18"/>
        <v>-792315805.28607392</v>
      </c>
      <c r="BB48" s="9">
        <f t="shared" si="19"/>
        <v>-726276760.24559021</v>
      </c>
      <c r="BC48" s="9">
        <f t="shared" si="20"/>
        <v>-671130583.15480113</v>
      </c>
      <c r="BD48" s="9">
        <f t="shared" si="21"/>
        <v>-626695796.44784939</v>
      </c>
      <c r="BE48" s="9">
        <f t="shared" si="22"/>
        <v>-592681303.34100246</v>
      </c>
      <c r="BF48" s="9">
        <f t="shared" si="23"/>
        <v>-568696913.31224966</v>
      </c>
      <c r="BG48" s="9">
        <f t="shared" si="24"/>
        <v>-554263899.68821502</v>
      </c>
      <c r="BH48" s="9">
        <f t="shared" si="25"/>
        <v>-548825261.69864511</v>
      </c>
      <c r="BI48" s="9">
        <f t="shared" si="26"/>
        <v>-551755453.89483654</v>
      </c>
      <c r="BJ48" s="9">
        <f t="shared" si="27"/>
        <v>-562369435.0202893</v>
      </c>
      <c r="BK48" s="9">
        <f t="shared" si="28"/>
        <v>-579930969.55179596</v>
      </c>
      <c r="BL48" s="9">
        <f t="shared" si="29"/>
        <v>-603660183.11687434</v>
      </c>
      <c r="BM48" s="9">
        <f t="shared" si="30"/>
        <v>-632740424.71048808</v>
      </c>
      <c r="BN48" s="9">
        <f t="shared" si="31"/>
        <v>-666324523.0033772</v>
      </c>
      <c r="BO48" s="9">
        <f t="shared" si="32"/>
        <v>-703540541.91810083</v>
      </c>
      <c r="BP48" s="9">
        <f t="shared" si="33"/>
        <v>-743497144.54607558</v>
      </c>
      <c r="BQ48" s="9">
        <f t="shared" si="34"/>
        <v>-785288668.07384062</v>
      </c>
      <c r="BR48" s="9">
        <f t="shared" si="35"/>
        <v>-827999999.99999988</v>
      </c>
      <c r="BT48" s="17"/>
      <c r="BU48" s="9">
        <v>0</v>
      </c>
      <c r="BV48" s="9">
        <f t="shared" ref="BV48:CY48" si="108">$C$12/($C$13-BU48*$C$14)</f>
        <v>0.25</v>
      </c>
      <c r="BW48" s="9">
        <f t="shared" si="108"/>
        <v>0.26666666666666666</v>
      </c>
      <c r="BX48" s="9">
        <f t="shared" si="108"/>
        <v>0.26785714285714285</v>
      </c>
      <c r="BY48" s="9">
        <f t="shared" si="108"/>
        <v>0.26794258373205743</v>
      </c>
      <c r="BZ48" s="9">
        <f t="shared" si="108"/>
        <v>0.26794871794871794</v>
      </c>
      <c r="CA48" s="9">
        <f t="shared" si="108"/>
        <v>0.26794915836482308</v>
      </c>
      <c r="CB48" s="9">
        <f t="shared" si="108"/>
        <v>0.26794918998527245</v>
      </c>
      <c r="CC48" s="9">
        <f t="shared" si="108"/>
        <v>0.26794919225551855</v>
      </c>
      <c r="CD48" s="9">
        <f t="shared" si="108"/>
        <v>0.26794919241851489</v>
      </c>
      <c r="CE48" s="9">
        <f t="shared" si="108"/>
        <v>0.26794919243021753</v>
      </c>
      <c r="CF48" s="9">
        <f t="shared" si="108"/>
        <v>0.26794919243105775</v>
      </c>
      <c r="CG48" s="9">
        <f t="shared" si="108"/>
        <v>0.26794919243111803</v>
      </c>
      <c r="CH48" s="9">
        <f t="shared" si="108"/>
        <v>0.26794919243112236</v>
      </c>
      <c r="CI48" s="9">
        <f t="shared" si="108"/>
        <v>0.2679491924311227</v>
      </c>
      <c r="CJ48" s="9">
        <f t="shared" si="108"/>
        <v>0.2679491924311227</v>
      </c>
      <c r="CK48" s="9">
        <f t="shared" si="108"/>
        <v>0.2679491924311227</v>
      </c>
      <c r="CL48" s="9">
        <f t="shared" si="108"/>
        <v>0.2679491924311227</v>
      </c>
      <c r="CM48" s="9">
        <f t="shared" si="108"/>
        <v>0.2679491924311227</v>
      </c>
      <c r="CN48" s="9">
        <f t="shared" si="108"/>
        <v>0.2679491924311227</v>
      </c>
      <c r="CO48" s="9">
        <f t="shared" si="108"/>
        <v>0.2679491924311227</v>
      </c>
      <c r="CP48" s="9">
        <f t="shared" si="108"/>
        <v>0.2679491924311227</v>
      </c>
      <c r="CQ48" s="9">
        <f t="shared" si="108"/>
        <v>0.2679491924311227</v>
      </c>
      <c r="CR48" s="9">
        <f t="shared" si="108"/>
        <v>0.2679491924311227</v>
      </c>
      <c r="CS48" s="9">
        <f t="shared" si="108"/>
        <v>0.2679491924311227</v>
      </c>
      <c r="CT48" s="9">
        <f t="shared" si="108"/>
        <v>0.2679491924311227</v>
      </c>
      <c r="CU48" s="9">
        <f t="shared" si="108"/>
        <v>0.2679491924311227</v>
      </c>
      <c r="CV48" s="9">
        <f t="shared" si="108"/>
        <v>0.2679491924311227</v>
      </c>
      <c r="CW48" s="9">
        <f t="shared" si="108"/>
        <v>0.2679491924311227</v>
      </c>
      <c r="CX48" s="9">
        <f t="shared" si="108"/>
        <v>0.2679491924311227</v>
      </c>
      <c r="CY48" s="9">
        <f t="shared" si="108"/>
        <v>0.2679491924311227</v>
      </c>
      <c r="DB48" s="17"/>
      <c r="DC48" s="9">
        <f t="shared" si="37"/>
        <v>300</v>
      </c>
      <c r="DD48" s="9">
        <f t="shared" si="38"/>
        <v>215.10057131399284</v>
      </c>
      <c r="DE48" s="9">
        <f t="shared" si="79"/>
        <v>196.33110409635489</v>
      </c>
      <c r="DF48" s="9">
        <f t="shared" si="80"/>
        <v>181.84227107984131</v>
      </c>
      <c r="DG48" s="9">
        <f t="shared" si="81"/>
        <v>167.94098629795187</v>
      </c>
      <c r="DH48" s="9">
        <f t="shared" si="82"/>
        <v>154.48718508409249</v>
      </c>
      <c r="DI48" s="9">
        <f t="shared" si="83"/>
        <v>141.56872063856258</v>
      </c>
      <c r="DJ48" s="9">
        <f t="shared" si="84"/>
        <v>129.27984065964512</v>
      </c>
      <c r="DK48" s="9">
        <f t="shared" si="85"/>
        <v>117.70525437366351</v>
      </c>
      <c r="DL48" s="9">
        <f t="shared" si="86"/>
        <v>106.91812542475368</v>
      </c>
      <c r="DM48" s="9">
        <f t="shared" si="87"/>
        <v>96.979288686424482</v>
      </c>
      <c r="DN48" s="9">
        <f t="shared" si="88"/>
        <v>87.936847665625564</v>
      </c>
      <c r="DO48" s="9">
        <f t="shared" si="89"/>
        <v>79.826080055664846</v>
      </c>
      <c r="DP48" s="9">
        <f t="shared" si="90"/>
        <v>72.66961875272176</v>
      </c>
      <c r="DQ48" s="9">
        <f t="shared" si="91"/>
        <v>66.477869859382906</v>
      </c>
      <c r="DR48" s="9">
        <f t="shared" si="92"/>
        <v>61.249623372386466</v>
      </c>
      <c r="DS48" s="9">
        <f t="shared" si="93"/>
        <v>56.972809476389813</v>
      </c>
      <c r="DT48" s="9">
        <f t="shared" si="94"/>
        <v>53.62535370017698</v>
      </c>
      <c r="DU48" s="9">
        <f t="shared" si="95"/>
        <v>51.176087285450215</v>
      </c>
      <c r="DV48" s="9">
        <f t="shared" si="96"/>
        <v>49.5856744278394</v>
      </c>
      <c r="DW48" s="9">
        <f t="shared" si="97"/>
        <v>48.807524911350974</v>
      </c>
      <c r="DX48" s="9">
        <f t="shared" si="98"/>
        <v>48.788668355715174</v>
      </c>
      <c r="DY48" s="9">
        <f t="shared" si="99"/>
        <v>49.470574131508897</v>
      </c>
      <c r="DZ48" s="9">
        <f t="shared" si="100"/>
        <v>50.789908348318562</v>
      </c>
      <c r="EA48" s="9">
        <f t="shared" si="101"/>
        <v>52.679225691039257</v>
      </c>
      <c r="EB48" s="9">
        <f t="shared" si="47"/>
        <v>55.067598933429409</v>
      </c>
      <c r="EC48" s="9">
        <f t="shared" si="48"/>
        <v>57.881192536716938</v>
      </c>
      <c r="ED48" s="9">
        <f t="shared" si="49"/>
        <v>61.04378885743165</v>
      </c>
      <c r="EE48" s="9">
        <f t="shared" si="50"/>
        <v>64.477276307953062</v>
      </c>
      <c r="EF48" s="9">
        <f t="shared" si="51"/>
        <v>68.102108618250625</v>
      </c>
      <c r="EG48" s="9">
        <f t="shared" si="52"/>
        <v>71.837743493341407</v>
      </c>
    </row>
    <row r="49" spans="6:137" x14ac:dyDescent="0.3">
      <c r="F49" s="17"/>
      <c r="G49" s="3">
        <v>300</v>
      </c>
      <c r="H49" s="2">
        <f t="shared" si="102"/>
        <v>280.28451209215393</v>
      </c>
      <c r="I49" s="2">
        <f t="shared" si="103"/>
        <v>260.73576311264429</v>
      </c>
      <c r="J49" s="2">
        <f t="shared" si="104"/>
        <v>241.51747131108533</v>
      </c>
      <c r="K49" s="2">
        <f t="shared" si="53"/>
        <v>222.78741419664433</v>
      </c>
      <c r="L49" s="2">
        <f t="shared" si="54"/>
        <v>204.69470412190583</v>
      </c>
      <c r="M49" s="2">
        <f t="shared" si="55"/>
        <v>187.37734377748515</v>
      </c>
      <c r="N49" s="2">
        <f t="shared" si="56"/>
        <v>170.96013071462002</v>
      </c>
      <c r="O49" s="2">
        <f t="shared" si="57"/>
        <v>155.55296157926739</v>
      </c>
      <c r="P49" s="2">
        <f t="shared" si="58"/>
        <v>141.24956633387421</v>
      </c>
      <c r="Q49" s="2">
        <f t="shared" si="59"/>
        <v>128.12668177591524</v>
      </c>
      <c r="R49" s="2">
        <f t="shared" si="60"/>
        <v>116.2436535336921</v>
      </c>
      <c r="S49" s="2">
        <f t="shared" si="61"/>
        <v>105.6424376996389</v>
      </c>
      <c r="T49" s="2">
        <f t="shared" si="62"/>
        <v>96.347958393682063</v>
      </c>
      <c r="U49" s="2">
        <f t="shared" si="63"/>
        <v>88.368766578936146</v>
      </c>
      <c r="V49" s="2">
        <f t="shared" si="64"/>
        <v>81.697938780615559</v>
      </c>
      <c r="W49" s="2">
        <f t="shared" si="65"/>
        <v>76.314152032704555</v>
      </c>
      <c r="X49" s="2">
        <f t="shared" si="66"/>
        <v>72.182873106760752</v>
      </c>
      <c r="Y49" s="2">
        <f t="shared" si="67"/>
        <v>69.257605287816148</v>
      </c>
      <c r="Z49" s="2">
        <f t="shared" si="68"/>
        <v>67.481143862800991</v>
      </c>
      <c r="AA49" s="2">
        <f t="shared" si="69"/>
        <v>66.786801156572565</v>
      </c>
      <c r="AB49" s="2">
        <f t="shared" si="70"/>
        <v>67.099572430483192</v>
      </c>
      <c r="AC49" s="2">
        <f t="shared" si="71"/>
        <v>68.337224339554254</v>
      </c>
      <c r="AD49" s="2">
        <f t="shared" si="72"/>
        <v>70.411297145055215</v>
      </c>
      <c r="AE49" s="2">
        <f t="shared" si="73"/>
        <v>73.228019904484015</v>
      </c>
      <c r="AF49" s="2">
        <f t="shared" si="74"/>
        <v>76.689144038853186</v>
      </c>
      <c r="AG49" s="2">
        <f t="shared" si="75"/>
        <v>80.692704871583686</v>
      </c>
      <c r="AH49" s="2">
        <f t="shared" si="76"/>
        <v>85.133723031206884</v>
      </c>
      <c r="AI49" s="2">
        <f t="shared" si="77"/>
        <v>89.904858287519005</v>
      </c>
      <c r="AJ49" s="2">
        <f t="shared" si="39"/>
        <v>94.897027861362886</v>
      </c>
      <c r="AK49" s="2">
        <v>100</v>
      </c>
      <c r="AM49" s="17"/>
      <c r="AN49" s="9">
        <f t="shared" si="6"/>
        <v>-2483999999.9999995</v>
      </c>
      <c r="AO49" s="9">
        <f t="shared" si="6"/>
        <v>-2320065460.9597211</v>
      </c>
      <c r="AP49" s="9">
        <f t="shared" si="7"/>
        <v>-2157524025.855979</v>
      </c>
      <c r="AQ49" s="9">
        <f t="shared" si="8"/>
        <v>-1997743370.8511176</v>
      </c>
      <c r="AR49" s="9">
        <f t="shared" si="9"/>
        <v>-1842041172.8038464</v>
      </c>
      <c r="AS49" s="9">
        <f t="shared" si="10"/>
        <v>-1691662202.2458639</v>
      </c>
      <c r="AT49" s="9">
        <f t="shared" si="11"/>
        <v>-1547757796.7319367</v>
      </c>
      <c r="AU49" s="9">
        <f t="shared" si="12"/>
        <v>-1411368300.4571517</v>
      </c>
      <c r="AV49" s="9">
        <f t="shared" si="13"/>
        <v>-1283408897.9719014</v>
      </c>
      <c r="AW49" s="9">
        <f t="shared" si="14"/>
        <v>-1164659094.9985006</v>
      </c>
      <c r="AX49" s="9">
        <f t="shared" si="15"/>
        <v>-1055755919.9574319</v>
      </c>
      <c r="AY49" s="9">
        <f t="shared" si="16"/>
        <v>-957190747.8891468</v>
      </c>
      <c r="AZ49" s="9">
        <f t="shared" si="17"/>
        <v>-869309494.92669106</v>
      </c>
      <c r="BA49" s="9">
        <f t="shared" si="18"/>
        <v>-792315805.28607392</v>
      </c>
      <c r="BB49" s="9">
        <f t="shared" si="19"/>
        <v>-726276760.24559021</v>
      </c>
      <c r="BC49" s="9">
        <f t="shared" si="20"/>
        <v>-671130583.15480089</v>
      </c>
      <c r="BD49" s="9">
        <f t="shared" si="21"/>
        <v>-626695796.44784927</v>
      </c>
      <c r="BE49" s="9">
        <f t="shared" si="22"/>
        <v>-592681303.34100235</v>
      </c>
      <c r="BF49" s="9">
        <f t="shared" si="23"/>
        <v>-568696913.31224954</v>
      </c>
      <c r="BG49" s="9">
        <f t="shared" si="24"/>
        <v>-554263899.68821502</v>
      </c>
      <c r="BH49" s="9">
        <f t="shared" si="25"/>
        <v>-548825261.69864511</v>
      </c>
      <c r="BI49" s="9">
        <f t="shared" si="26"/>
        <v>-551755453.89483654</v>
      </c>
      <c r="BJ49" s="9">
        <f t="shared" si="27"/>
        <v>-562369435.0202893</v>
      </c>
      <c r="BK49" s="9">
        <f t="shared" si="28"/>
        <v>-579930969.55179572</v>
      </c>
      <c r="BL49" s="9">
        <f t="shared" si="29"/>
        <v>-603660183.11687434</v>
      </c>
      <c r="BM49" s="9">
        <f t="shared" si="30"/>
        <v>-632740424.71048808</v>
      </c>
      <c r="BN49" s="9">
        <f t="shared" si="31"/>
        <v>-666324523.00337708</v>
      </c>
      <c r="BO49" s="9">
        <f t="shared" si="32"/>
        <v>-703540541.91810071</v>
      </c>
      <c r="BP49" s="9">
        <f t="shared" si="33"/>
        <v>-743497144.54607558</v>
      </c>
      <c r="BQ49" s="9">
        <f t="shared" si="34"/>
        <v>-785288668.07384062</v>
      </c>
      <c r="BR49" s="9">
        <f t="shared" si="35"/>
        <v>-827999999.99999988</v>
      </c>
      <c r="BT49" s="17"/>
      <c r="BU49" s="9">
        <v>0</v>
      </c>
      <c r="BV49" s="9">
        <f t="shared" ref="BV49:CY49" si="109">$C$12/($C$13-BU49*$C$14)</f>
        <v>0.25</v>
      </c>
      <c r="BW49" s="9">
        <f t="shared" si="109"/>
        <v>0.26666666666666666</v>
      </c>
      <c r="BX49" s="9">
        <f t="shared" si="109"/>
        <v>0.26785714285714285</v>
      </c>
      <c r="BY49" s="9">
        <f t="shared" si="109"/>
        <v>0.26794258373205743</v>
      </c>
      <c r="BZ49" s="9">
        <f t="shared" si="109"/>
        <v>0.26794871794871794</v>
      </c>
      <c r="CA49" s="9">
        <f t="shared" si="109"/>
        <v>0.26794915836482308</v>
      </c>
      <c r="CB49" s="9">
        <f t="shared" si="109"/>
        <v>0.26794918998527245</v>
      </c>
      <c r="CC49" s="9">
        <f t="shared" si="109"/>
        <v>0.26794919225551855</v>
      </c>
      <c r="CD49" s="9">
        <f t="shared" si="109"/>
        <v>0.26794919241851489</v>
      </c>
      <c r="CE49" s="9">
        <f t="shared" si="109"/>
        <v>0.26794919243021753</v>
      </c>
      <c r="CF49" s="9">
        <f t="shared" si="109"/>
        <v>0.26794919243105775</v>
      </c>
      <c r="CG49" s="9">
        <f t="shared" si="109"/>
        <v>0.26794919243111803</v>
      </c>
      <c r="CH49" s="9">
        <f t="shared" si="109"/>
        <v>0.26794919243112236</v>
      </c>
      <c r="CI49" s="9">
        <f t="shared" si="109"/>
        <v>0.2679491924311227</v>
      </c>
      <c r="CJ49" s="9">
        <f t="shared" si="109"/>
        <v>0.2679491924311227</v>
      </c>
      <c r="CK49" s="9">
        <f t="shared" si="109"/>
        <v>0.2679491924311227</v>
      </c>
      <c r="CL49" s="9">
        <f t="shared" si="109"/>
        <v>0.2679491924311227</v>
      </c>
      <c r="CM49" s="9">
        <f t="shared" si="109"/>
        <v>0.2679491924311227</v>
      </c>
      <c r="CN49" s="9">
        <f t="shared" si="109"/>
        <v>0.2679491924311227</v>
      </c>
      <c r="CO49" s="9">
        <f t="shared" si="109"/>
        <v>0.2679491924311227</v>
      </c>
      <c r="CP49" s="9">
        <f t="shared" si="109"/>
        <v>0.2679491924311227</v>
      </c>
      <c r="CQ49" s="9">
        <f t="shared" si="109"/>
        <v>0.2679491924311227</v>
      </c>
      <c r="CR49" s="9">
        <f t="shared" si="109"/>
        <v>0.2679491924311227</v>
      </c>
      <c r="CS49" s="9">
        <f t="shared" si="109"/>
        <v>0.2679491924311227</v>
      </c>
      <c r="CT49" s="9">
        <f t="shared" si="109"/>
        <v>0.2679491924311227</v>
      </c>
      <c r="CU49" s="9">
        <f t="shared" si="109"/>
        <v>0.2679491924311227</v>
      </c>
      <c r="CV49" s="9">
        <f t="shared" si="109"/>
        <v>0.2679491924311227</v>
      </c>
      <c r="CW49" s="9">
        <f t="shared" si="109"/>
        <v>0.2679491924311227</v>
      </c>
      <c r="CX49" s="9">
        <f t="shared" si="109"/>
        <v>0.2679491924311227</v>
      </c>
      <c r="CY49" s="9">
        <f t="shared" si="109"/>
        <v>0.2679491924311227</v>
      </c>
      <c r="DB49" s="17"/>
      <c r="DC49" s="9">
        <f t="shared" si="37"/>
        <v>300</v>
      </c>
      <c r="DD49" s="9">
        <f t="shared" si="38"/>
        <v>215.10057131399284</v>
      </c>
      <c r="DE49" s="9">
        <f t="shared" si="79"/>
        <v>196.33110409635489</v>
      </c>
      <c r="DF49" s="9">
        <f t="shared" si="80"/>
        <v>181.84227107984131</v>
      </c>
      <c r="DG49" s="9">
        <f t="shared" si="81"/>
        <v>167.94098629795187</v>
      </c>
      <c r="DH49" s="9">
        <f t="shared" si="82"/>
        <v>154.48718508409249</v>
      </c>
      <c r="DI49" s="9">
        <f t="shared" si="83"/>
        <v>141.56872063856258</v>
      </c>
      <c r="DJ49" s="9">
        <f t="shared" si="84"/>
        <v>129.27984065964512</v>
      </c>
      <c r="DK49" s="9">
        <f t="shared" si="85"/>
        <v>117.70525437366351</v>
      </c>
      <c r="DL49" s="9">
        <f t="shared" si="86"/>
        <v>106.91812542475367</v>
      </c>
      <c r="DM49" s="9">
        <f t="shared" si="87"/>
        <v>96.979288686424454</v>
      </c>
      <c r="DN49" s="9">
        <f t="shared" si="88"/>
        <v>87.936847665625521</v>
      </c>
      <c r="DO49" s="9">
        <f t="shared" si="89"/>
        <v>79.826080055664832</v>
      </c>
      <c r="DP49" s="9">
        <f t="shared" si="90"/>
        <v>72.66961875272176</v>
      </c>
      <c r="DQ49" s="9">
        <f t="shared" si="91"/>
        <v>66.477869859382906</v>
      </c>
      <c r="DR49" s="9">
        <f t="shared" si="92"/>
        <v>61.249623372386452</v>
      </c>
      <c r="DS49" s="9">
        <f t="shared" si="93"/>
        <v>56.972809476389806</v>
      </c>
      <c r="DT49" s="9">
        <f t="shared" si="94"/>
        <v>53.625353700176966</v>
      </c>
      <c r="DU49" s="9">
        <f t="shared" si="95"/>
        <v>51.176087285450208</v>
      </c>
      <c r="DV49" s="9">
        <f t="shared" si="96"/>
        <v>49.5856744278394</v>
      </c>
      <c r="DW49" s="9">
        <f t="shared" si="97"/>
        <v>48.807524911350974</v>
      </c>
      <c r="DX49" s="9">
        <f t="shared" si="98"/>
        <v>48.788668355715174</v>
      </c>
      <c r="DY49" s="9">
        <f t="shared" si="99"/>
        <v>49.470574131508897</v>
      </c>
      <c r="DZ49" s="9">
        <f t="shared" si="100"/>
        <v>50.789908348318548</v>
      </c>
      <c r="EA49" s="9">
        <f t="shared" si="101"/>
        <v>52.679225691039257</v>
      </c>
      <c r="EB49" s="9">
        <f t="shared" si="47"/>
        <v>55.067598933429409</v>
      </c>
      <c r="EC49" s="9">
        <f t="shared" si="48"/>
        <v>57.881192536716931</v>
      </c>
      <c r="ED49" s="9">
        <f t="shared" si="49"/>
        <v>61.043788857431636</v>
      </c>
      <c r="EE49" s="9">
        <f t="shared" si="50"/>
        <v>64.477276307953062</v>
      </c>
      <c r="EF49" s="9">
        <f t="shared" si="51"/>
        <v>68.102108618250625</v>
      </c>
      <c r="EG49" s="9">
        <f t="shared" si="52"/>
        <v>71.837743493341407</v>
      </c>
    </row>
    <row r="50" spans="6:137" x14ac:dyDescent="0.3">
      <c r="F50" s="17"/>
      <c r="G50" s="3">
        <v>300</v>
      </c>
      <c r="H50" s="2">
        <f t="shared" si="102"/>
        <v>280.28451209215393</v>
      </c>
      <c r="I50" s="2">
        <f t="shared" si="103"/>
        <v>260.73576311264429</v>
      </c>
      <c r="J50" s="2">
        <f t="shared" si="104"/>
        <v>241.51747131108533</v>
      </c>
      <c r="K50" s="2">
        <f t="shared" si="53"/>
        <v>222.78741419664433</v>
      </c>
      <c r="L50" s="2">
        <f t="shared" si="54"/>
        <v>204.69470412190583</v>
      </c>
      <c r="M50" s="2">
        <f t="shared" si="55"/>
        <v>187.37734377748515</v>
      </c>
      <c r="N50" s="2">
        <f t="shared" si="56"/>
        <v>170.96013071462002</v>
      </c>
      <c r="O50" s="2">
        <f t="shared" si="57"/>
        <v>155.55296157926739</v>
      </c>
      <c r="P50" s="2">
        <f t="shared" si="58"/>
        <v>141.24956633387421</v>
      </c>
      <c r="Q50" s="2">
        <f t="shared" si="59"/>
        <v>128.12668177591524</v>
      </c>
      <c r="R50" s="2">
        <f t="shared" si="60"/>
        <v>116.24365353369207</v>
      </c>
      <c r="S50" s="2">
        <f t="shared" si="61"/>
        <v>105.64243769963886</v>
      </c>
      <c r="T50" s="2">
        <f t="shared" si="62"/>
        <v>96.347958393682021</v>
      </c>
      <c r="U50" s="2">
        <f t="shared" si="63"/>
        <v>88.368766578936118</v>
      </c>
      <c r="V50" s="2">
        <f t="shared" si="64"/>
        <v>81.69793878061553</v>
      </c>
      <c r="W50" s="2">
        <f t="shared" si="65"/>
        <v>76.314152032704527</v>
      </c>
      <c r="X50" s="2">
        <f t="shared" si="66"/>
        <v>72.182873106760738</v>
      </c>
      <c r="Y50" s="2">
        <f t="shared" si="67"/>
        <v>69.257605287816119</v>
      </c>
      <c r="Z50" s="2">
        <f t="shared" si="68"/>
        <v>67.481143862800977</v>
      </c>
      <c r="AA50" s="2">
        <f t="shared" si="69"/>
        <v>66.786801156572551</v>
      </c>
      <c r="AB50" s="2">
        <f t="shared" si="70"/>
        <v>67.099572430483192</v>
      </c>
      <c r="AC50" s="2">
        <f t="shared" si="71"/>
        <v>68.337224339554254</v>
      </c>
      <c r="AD50" s="2">
        <f t="shared" si="72"/>
        <v>70.411297145055187</v>
      </c>
      <c r="AE50" s="2">
        <f t="shared" si="73"/>
        <v>73.228019904483972</v>
      </c>
      <c r="AF50" s="2">
        <f t="shared" si="74"/>
        <v>76.689144038853129</v>
      </c>
      <c r="AG50" s="2">
        <f t="shared" si="75"/>
        <v>80.692704871583658</v>
      </c>
      <c r="AH50" s="2">
        <f t="shared" si="76"/>
        <v>85.13372303120687</v>
      </c>
      <c r="AI50" s="2">
        <f t="shared" si="77"/>
        <v>89.904858287518977</v>
      </c>
      <c r="AJ50" s="2">
        <f t="shared" si="39"/>
        <v>94.897027861362886</v>
      </c>
      <c r="AK50" s="2">
        <v>100</v>
      </c>
      <c r="AM50" s="17"/>
      <c r="AN50" s="9">
        <f t="shared" si="6"/>
        <v>-2483999999.9999995</v>
      </c>
      <c r="AO50" s="9">
        <f t="shared" si="6"/>
        <v>-2320065460.9597206</v>
      </c>
      <c r="AP50" s="9">
        <f t="shared" si="7"/>
        <v>-2157524025.855979</v>
      </c>
      <c r="AQ50" s="9">
        <f t="shared" si="8"/>
        <v>-1997743370.8511176</v>
      </c>
      <c r="AR50" s="9">
        <f t="shared" si="9"/>
        <v>-1842041172.8038464</v>
      </c>
      <c r="AS50" s="9">
        <f t="shared" si="10"/>
        <v>-1691662202.2458639</v>
      </c>
      <c r="AT50" s="9">
        <f t="shared" si="11"/>
        <v>-1547757796.7319367</v>
      </c>
      <c r="AU50" s="9">
        <f t="shared" si="12"/>
        <v>-1411368300.4571517</v>
      </c>
      <c r="AV50" s="9">
        <f t="shared" si="13"/>
        <v>-1283408897.9719014</v>
      </c>
      <c r="AW50" s="9">
        <f t="shared" si="14"/>
        <v>-1164659094.9985006</v>
      </c>
      <c r="AX50" s="9">
        <f t="shared" si="15"/>
        <v>-1055755919.9574316</v>
      </c>
      <c r="AY50" s="9">
        <f t="shared" si="16"/>
        <v>-957190747.88914657</v>
      </c>
      <c r="AZ50" s="9">
        <f t="shared" si="17"/>
        <v>-869309494.9266907</v>
      </c>
      <c r="BA50" s="9">
        <f t="shared" si="18"/>
        <v>-792315805.2860738</v>
      </c>
      <c r="BB50" s="9">
        <f t="shared" si="19"/>
        <v>-726276760.24558985</v>
      </c>
      <c r="BC50" s="9">
        <f t="shared" si="20"/>
        <v>-671130583.15480089</v>
      </c>
      <c r="BD50" s="9">
        <f t="shared" si="21"/>
        <v>-626695796.44784915</v>
      </c>
      <c r="BE50" s="9">
        <f t="shared" si="22"/>
        <v>-592681303.34100223</v>
      </c>
      <c r="BF50" s="9">
        <f t="shared" si="23"/>
        <v>-568696913.3122493</v>
      </c>
      <c r="BG50" s="9">
        <f t="shared" si="24"/>
        <v>-554263899.6882149</v>
      </c>
      <c r="BH50" s="9">
        <f t="shared" si="25"/>
        <v>-548825261.69864488</v>
      </c>
      <c r="BI50" s="9">
        <f t="shared" si="26"/>
        <v>-551755453.89483643</v>
      </c>
      <c r="BJ50" s="9">
        <f t="shared" si="27"/>
        <v>-562369435.0202893</v>
      </c>
      <c r="BK50" s="9">
        <f t="shared" si="28"/>
        <v>-579930969.55179548</v>
      </c>
      <c r="BL50" s="9">
        <f t="shared" si="29"/>
        <v>-603660183.11687398</v>
      </c>
      <c r="BM50" s="9">
        <f t="shared" si="30"/>
        <v>-632740424.71048772</v>
      </c>
      <c r="BN50" s="9">
        <f t="shared" si="31"/>
        <v>-666324523.00337684</v>
      </c>
      <c r="BO50" s="9">
        <f t="shared" si="32"/>
        <v>-703540541.9181006</v>
      </c>
      <c r="BP50" s="9">
        <f t="shared" si="33"/>
        <v>-743497144.54607534</v>
      </c>
      <c r="BQ50" s="9">
        <f t="shared" si="34"/>
        <v>-785288668.07384062</v>
      </c>
      <c r="BR50" s="9">
        <f t="shared" si="35"/>
        <v>-827999999.99999988</v>
      </c>
      <c r="BT50" s="17"/>
      <c r="BU50" s="9">
        <v>0</v>
      </c>
      <c r="BV50" s="9">
        <f t="shared" ref="BV50:CY50" si="110">$C$12/($C$13-BU50*$C$14)</f>
        <v>0.25</v>
      </c>
      <c r="BW50" s="9">
        <f t="shared" si="110"/>
        <v>0.26666666666666666</v>
      </c>
      <c r="BX50" s="9">
        <f t="shared" si="110"/>
        <v>0.26785714285714285</v>
      </c>
      <c r="BY50" s="9">
        <f t="shared" si="110"/>
        <v>0.26794258373205743</v>
      </c>
      <c r="BZ50" s="9">
        <f t="shared" si="110"/>
        <v>0.26794871794871794</v>
      </c>
      <c r="CA50" s="9">
        <f t="shared" si="110"/>
        <v>0.26794915836482308</v>
      </c>
      <c r="CB50" s="9">
        <f t="shared" si="110"/>
        <v>0.26794918998527245</v>
      </c>
      <c r="CC50" s="9">
        <f t="shared" si="110"/>
        <v>0.26794919225551855</v>
      </c>
      <c r="CD50" s="9">
        <f t="shared" si="110"/>
        <v>0.26794919241851489</v>
      </c>
      <c r="CE50" s="9">
        <f t="shared" si="110"/>
        <v>0.26794919243021753</v>
      </c>
      <c r="CF50" s="9">
        <f t="shared" si="110"/>
        <v>0.26794919243105775</v>
      </c>
      <c r="CG50" s="9">
        <f t="shared" si="110"/>
        <v>0.26794919243111803</v>
      </c>
      <c r="CH50" s="9">
        <f t="shared" si="110"/>
        <v>0.26794919243112236</v>
      </c>
      <c r="CI50" s="9">
        <f t="shared" si="110"/>
        <v>0.2679491924311227</v>
      </c>
      <c r="CJ50" s="9">
        <f t="shared" si="110"/>
        <v>0.2679491924311227</v>
      </c>
      <c r="CK50" s="9">
        <f t="shared" si="110"/>
        <v>0.2679491924311227</v>
      </c>
      <c r="CL50" s="9">
        <f t="shared" si="110"/>
        <v>0.2679491924311227</v>
      </c>
      <c r="CM50" s="9">
        <f t="shared" si="110"/>
        <v>0.2679491924311227</v>
      </c>
      <c r="CN50" s="9">
        <f t="shared" si="110"/>
        <v>0.2679491924311227</v>
      </c>
      <c r="CO50" s="9">
        <f t="shared" si="110"/>
        <v>0.2679491924311227</v>
      </c>
      <c r="CP50" s="9">
        <f t="shared" si="110"/>
        <v>0.2679491924311227</v>
      </c>
      <c r="CQ50" s="9">
        <f t="shared" si="110"/>
        <v>0.2679491924311227</v>
      </c>
      <c r="CR50" s="9">
        <f t="shared" si="110"/>
        <v>0.2679491924311227</v>
      </c>
      <c r="CS50" s="9">
        <f t="shared" si="110"/>
        <v>0.2679491924311227</v>
      </c>
      <c r="CT50" s="9">
        <f t="shared" si="110"/>
        <v>0.2679491924311227</v>
      </c>
      <c r="CU50" s="9">
        <f t="shared" si="110"/>
        <v>0.2679491924311227</v>
      </c>
      <c r="CV50" s="9">
        <f t="shared" si="110"/>
        <v>0.2679491924311227</v>
      </c>
      <c r="CW50" s="9">
        <f t="shared" si="110"/>
        <v>0.2679491924311227</v>
      </c>
      <c r="CX50" s="9">
        <f t="shared" si="110"/>
        <v>0.2679491924311227</v>
      </c>
      <c r="CY50" s="9">
        <f t="shared" si="110"/>
        <v>0.2679491924311227</v>
      </c>
      <c r="DB50" s="17"/>
      <c r="DC50" s="9">
        <f t="shared" si="37"/>
        <v>300</v>
      </c>
      <c r="DD50" s="9">
        <f t="shared" si="38"/>
        <v>215.10057131399284</v>
      </c>
      <c r="DE50" s="9">
        <f t="shared" si="79"/>
        <v>196.33110409635489</v>
      </c>
      <c r="DF50" s="9">
        <f t="shared" si="80"/>
        <v>181.84227107984131</v>
      </c>
      <c r="DG50" s="9">
        <f t="shared" si="81"/>
        <v>167.94098629795187</v>
      </c>
      <c r="DH50" s="9">
        <f t="shared" si="82"/>
        <v>154.48718508409249</v>
      </c>
      <c r="DI50" s="9">
        <f t="shared" si="83"/>
        <v>141.56872063856258</v>
      </c>
      <c r="DJ50" s="9">
        <f t="shared" si="84"/>
        <v>129.27984065964512</v>
      </c>
      <c r="DK50" s="9">
        <f t="shared" si="85"/>
        <v>117.70525437366351</v>
      </c>
      <c r="DL50" s="9">
        <f t="shared" si="86"/>
        <v>106.91812542475367</v>
      </c>
      <c r="DM50" s="9">
        <f t="shared" si="87"/>
        <v>96.979288686424439</v>
      </c>
      <c r="DN50" s="9">
        <f t="shared" si="88"/>
        <v>87.936847665625507</v>
      </c>
      <c r="DO50" s="9">
        <f t="shared" si="89"/>
        <v>79.826080055664804</v>
      </c>
      <c r="DP50" s="9">
        <f t="shared" si="90"/>
        <v>72.669618752721732</v>
      </c>
      <c r="DQ50" s="9">
        <f t="shared" si="91"/>
        <v>66.477869859382878</v>
      </c>
      <c r="DR50" s="9">
        <f t="shared" si="92"/>
        <v>61.249623372386431</v>
      </c>
      <c r="DS50" s="9">
        <f t="shared" si="93"/>
        <v>56.972809476389791</v>
      </c>
      <c r="DT50" s="9">
        <f t="shared" si="94"/>
        <v>53.625353700176959</v>
      </c>
      <c r="DU50" s="9">
        <f t="shared" si="95"/>
        <v>51.176087285450194</v>
      </c>
      <c r="DV50" s="9">
        <f t="shared" si="96"/>
        <v>49.585674427839386</v>
      </c>
      <c r="DW50" s="9">
        <f t="shared" si="97"/>
        <v>48.80752491135096</v>
      </c>
      <c r="DX50" s="9">
        <f t="shared" si="98"/>
        <v>48.788668355715167</v>
      </c>
      <c r="DY50" s="9">
        <f t="shared" si="99"/>
        <v>49.470574131508897</v>
      </c>
      <c r="DZ50" s="9">
        <f t="shared" si="100"/>
        <v>50.789908348318527</v>
      </c>
      <c r="EA50" s="9">
        <f t="shared" si="101"/>
        <v>52.679225691039228</v>
      </c>
      <c r="EB50" s="9">
        <f t="shared" si="47"/>
        <v>55.067598933429373</v>
      </c>
      <c r="EC50" s="9">
        <f t="shared" si="48"/>
        <v>57.88119253671691</v>
      </c>
      <c r="ED50" s="9">
        <f t="shared" si="49"/>
        <v>61.043788857431629</v>
      </c>
      <c r="EE50" s="9">
        <f t="shared" si="50"/>
        <v>64.477276307953048</v>
      </c>
      <c r="EF50" s="9">
        <f t="shared" si="51"/>
        <v>68.102108618250625</v>
      </c>
      <c r="EG50" s="9">
        <f t="shared" si="52"/>
        <v>71.837743493341407</v>
      </c>
    </row>
    <row r="51" spans="6:137" x14ac:dyDescent="0.3">
      <c r="F51" s="17"/>
      <c r="G51" s="3">
        <v>300</v>
      </c>
      <c r="H51" s="2">
        <f t="shared" si="102"/>
        <v>280.28451209215393</v>
      </c>
      <c r="I51" s="2">
        <f t="shared" si="103"/>
        <v>260.73576311264429</v>
      </c>
      <c r="J51" s="2">
        <f t="shared" si="104"/>
        <v>241.51747131108533</v>
      </c>
      <c r="K51" s="2">
        <f t="shared" si="53"/>
        <v>222.78741419664433</v>
      </c>
      <c r="L51" s="2">
        <f t="shared" si="54"/>
        <v>204.69470412190583</v>
      </c>
      <c r="M51" s="2">
        <f t="shared" si="55"/>
        <v>187.37734377748515</v>
      </c>
      <c r="N51" s="2">
        <f t="shared" si="56"/>
        <v>170.96013071461999</v>
      </c>
      <c r="O51" s="2">
        <f t="shared" si="57"/>
        <v>155.55296157926739</v>
      </c>
      <c r="P51" s="2">
        <f t="shared" si="58"/>
        <v>141.24956633387421</v>
      </c>
      <c r="Q51" s="2">
        <f t="shared" si="59"/>
        <v>128.12668177591524</v>
      </c>
      <c r="R51" s="2">
        <f t="shared" si="60"/>
        <v>116.24365353369207</v>
      </c>
      <c r="S51" s="2">
        <f t="shared" si="61"/>
        <v>105.64243769963886</v>
      </c>
      <c r="T51" s="2">
        <f t="shared" si="62"/>
        <v>96.347958393682006</v>
      </c>
      <c r="U51" s="2">
        <f t="shared" si="63"/>
        <v>88.368766578936089</v>
      </c>
      <c r="V51" s="2">
        <f t="shared" si="64"/>
        <v>81.69793878061553</v>
      </c>
      <c r="W51" s="2">
        <f t="shared" si="65"/>
        <v>76.314152032704527</v>
      </c>
      <c r="X51" s="2">
        <f t="shared" si="66"/>
        <v>72.182873106760738</v>
      </c>
      <c r="Y51" s="2">
        <f t="shared" si="67"/>
        <v>69.257605287816105</v>
      </c>
      <c r="Z51" s="2">
        <f t="shared" si="68"/>
        <v>67.481143862800963</v>
      </c>
      <c r="AA51" s="2">
        <f t="shared" si="69"/>
        <v>66.786801156572537</v>
      </c>
      <c r="AB51" s="2">
        <f t="shared" si="70"/>
        <v>67.099572430483164</v>
      </c>
      <c r="AC51" s="2">
        <f t="shared" si="71"/>
        <v>68.337224339554211</v>
      </c>
      <c r="AD51" s="2">
        <f t="shared" si="72"/>
        <v>70.411297145055173</v>
      </c>
      <c r="AE51" s="2">
        <f t="shared" si="73"/>
        <v>73.228019904483958</v>
      </c>
      <c r="AF51" s="2">
        <f t="shared" si="74"/>
        <v>76.689144038853115</v>
      </c>
      <c r="AG51" s="2">
        <f t="shared" si="75"/>
        <v>80.692704871583658</v>
      </c>
      <c r="AH51" s="2">
        <f t="shared" si="76"/>
        <v>85.133723031206856</v>
      </c>
      <c r="AI51" s="2">
        <f t="shared" si="77"/>
        <v>89.904858287518977</v>
      </c>
      <c r="AJ51" s="2">
        <f t="shared" si="39"/>
        <v>94.897027861362886</v>
      </c>
      <c r="AK51" s="2">
        <v>100</v>
      </c>
      <c r="AM51" s="17"/>
      <c r="AN51" s="9">
        <f t="shared" si="6"/>
        <v>-2483999999.9999995</v>
      </c>
      <c r="AO51" s="9">
        <f t="shared" si="6"/>
        <v>-2320065460.9597206</v>
      </c>
      <c r="AP51" s="9">
        <f t="shared" si="7"/>
        <v>-2157524025.8559785</v>
      </c>
      <c r="AQ51" s="9">
        <f t="shared" si="8"/>
        <v>-1997743370.8511176</v>
      </c>
      <c r="AR51" s="9">
        <f t="shared" si="9"/>
        <v>-1842041172.8038464</v>
      </c>
      <c r="AS51" s="9">
        <f t="shared" si="10"/>
        <v>-1691662202.2458639</v>
      </c>
      <c r="AT51" s="9">
        <f t="shared" si="11"/>
        <v>-1547757796.7319367</v>
      </c>
      <c r="AU51" s="9">
        <f t="shared" si="12"/>
        <v>-1411368300.4571514</v>
      </c>
      <c r="AV51" s="9">
        <f t="shared" si="13"/>
        <v>-1283408897.9719014</v>
      </c>
      <c r="AW51" s="9">
        <f t="shared" si="14"/>
        <v>-1164659094.9985006</v>
      </c>
      <c r="AX51" s="9">
        <f t="shared" si="15"/>
        <v>-1055755919.9574316</v>
      </c>
      <c r="AY51" s="9">
        <f t="shared" si="16"/>
        <v>-957190747.88914645</v>
      </c>
      <c r="AZ51" s="9">
        <f t="shared" si="17"/>
        <v>-869309494.9266907</v>
      </c>
      <c r="BA51" s="9">
        <f t="shared" si="18"/>
        <v>-792315805.28607368</v>
      </c>
      <c r="BB51" s="9">
        <f t="shared" si="19"/>
        <v>-726276760.24558973</v>
      </c>
      <c r="BC51" s="9">
        <f t="shared" si="20"/>
        <v>-671130583.15480077</v>
      </c>
      <c r="BD51" s="9">
        <f t="shared" si="21"/>
        <v>-626695796.44784904</v>
      </c>
      <c r="BE51" s="9">
        <f t="shared" si="22"/>
        <v>-592681303.34100223</v>
      </c>
      <c r="BF51" s="9">
        <f t="shared" si="23"/>
        <v>-568696913.31224918</v>
      </c>
      <c r="BG51" s="9">
        <f t="shared" si="24"/>
        <v>-554263899.68821466</v>
      </c>
      <c r="BH51" s="9">
        <f t="shared" si="25"/>
        <v>-548825261.69864488</v>
      </c>
      <c r="BI51" s="9">
        <f t="shared" si="26"/>
        <v>-551755453.89483631</v>
      </c>
      <c r="BJ51" s="9">
        <f t="shared" si="27"/>
        <v>-562369435.02028894</v>
      </c>
      <c r="BK51" s="9">
        <f t="shared" si="28"/>
        <v>-579930969.55179548</v>
      </c>
      <c r="BL51" s="9">
        <f t="shared" si="29"/>
        <v>-603660183.11687386</v>
      </c>
      <c r="BM51" s="9">
        <f t="shared" si="30"/>
        <v>-632740424.71048748</v>
      </c>
      <c r="BN51" s="9">
        <f t="shared" si="31"/>
        <v>-666324523.00337684</v>
      </c>
      <c r="BO51" s="9">
        <f t="shared" si="32"/>
        <v>-703540541.91810048</v>
      </c>
      <c r="BP51" s="9">
        <f t="shared" si="33"/>
        <v>-743497144.54607534</v>
      </c>
      <c r="BQ51" s="9">
        <f t="shared" si="34"/>
        <v>-785288668.07384062</v>
      </c>
      <c r="BR51" s="9">
        <f t="shared" si="35"/>
        <v>-827999999.99999988</v>
      </c>
      <c r="BT51" s="17"/>
      <c r="BU51" s="9">
        <v>0</v>
      </c>
      <c r="BV51" s="9">
        <f t="shared" ref="BV51:CY51" si="111">$C$12/($C$13-BU51*$C$14)</f>
        <v>0.25</v>
      </c>
      <c r="BW51" s="9">
        <f t="shared" si="111"/>
        <v>0.26666666666666666</v>
      </c>
      <c r="BX51" s="9">
        <f t="shared" si="111"/>
        <v>0.26785714285714285</v>
      </c>
      <c r="BY51" s="9">
        <f t="shared" si="111"/>
        <v>0.26794258373205743</v>
      </c>
      <c r="BZ51" s="9">
        <f t="shared" si="111"/>
        <v>0.26794871794871794</v>
      </c>
      <c r="CA51" s="9">
        <f t="shared" si="111"/>
        <v>0.26794915836482308</v>
      </c>
      <c r="CB51" s="9">
        <f t="shared" si="111"/>
        <v>0.26794918998527245</v>
      </c>
      <c r="CC51" s="9">
        <f t="shared" si="111"/>
        <v>0.26794919225551855</v>
      </c>
      <c r="CD51" s="9">
        <f t="shared" si="111"/>
        <v>0.26794919241851489</v>
      </c>
      <c r="CE51" s="9">
        <f t="shared" si="111"/>
        <v>0.26794919243021753</v>
      </c>
      <c r="CF51" s="9">
        <f t="shared" si="111"/>
        <v>0.26794919243105775</v>
      </c>
      <c r="CG51" s="9">
        <f t="shared" si="111"/>
        <v>0.26794919243111803</v>
      </c>
      <c r="CH51" s="9">
        <f t="shared" si="111"/>
        <v>0.26794919243112236</v>
      </c>
      <c r="CI51" s="9">
        <f t="shared" si="111"/>
        <v>0.2679491924311227</v>
      </c>
      <c r="CJ51" s="9">
        <f t="shared" si="111"/>
        <v>0.2679491924311227</v>
      </c>
      <c r="CK51" s="9">
        <f t="shared" si="111"/>
        <v>0.2679491924311227</v>
      </c>
      <c r="CL51" s="9">
        <f t="shared" si="111"/>
        <v>0.2679491924311227</v>
      </c>
      <c r="CM51" s="9">
        <f t="shared" si="111"/>
        <v>0.2679491924311227</v>
      </c>
      <c r="CN51" s="9">
        <f t="shared" si="111"/>
        <v>0.2679491924311227</v>
      </c>
      <c r="CO51" s="9">
        <f t="shared" si="111"/>
        <v>0.2679491924311227</v>
      </c>
      <c r="CP51" s="9">
        <f t="shared" si="111"/>
        <v>0.2679491924311227</v>
      </c>
      <c r="CQ51" s="9">
        <f t="shared" si="111"/>
        <v>0.2679491924311227</v>
      </c>
      <c r="CR51" s="9">
        <f t="shared" si="111"/>
        <v>0.2679491924311227</v>
      </c>
      <c r="CS51" s="9">
        <f t="shared" si="111"/>
        <v>0.2679491924311227</v>
      </c>
      <c r="CT51" s="9">
        <f t="shared" si="111"/>
        <v>0.2679491924311227</v>
      </c>
      <c r="CU51" s="9">
        <f t="shared" si="111"/>
        <v>0.2679491924311227</v>
      </c>
      <c r="CV51" s="9">
        <f t="shared" si="111"/>
        <v>0.2679491924311227</v>
      </c>
      <c r="CW51" s="9">
        <f t="shared" si="111"/>
        <v>0.2679491924311227</v>
      </c>
      <c r="CX51" s="9">
        <f t="shared" si="111"/>
        <v>0.2679491924311227</v>
      </c>
      <c r="CY51" s="9">
        <f t="shared" si="111"/>
        <v>0.2679491924311227</v>
      </c>
      <c r="DB51" s="17"/>
      <c r="DC51" s="9">
        <f t="shared" si="37"/>
        <v>300</v>
      </c>
      <c r="DD51" s="9">
        <f t="shared" si="38"/>
        <v>215.10057131399284</v>
      </c>
      <c r="DE51" s="9">
        <f t="shared" si="79"/>
        <v>196.33110409635486</v>
      </c>
      <c r="DF51" s="9">
        <f t="shared" si="80"/>
        <v>181.84227107984131</v>
      </c>
      <c r="DG51" s="9">
        <f t="shared" si="81"/>
        <v>167.94098629795187</v>
      </c>
      <c r="DH51" s="9">
        <f t="shared" si="82"/>
        <v>154.48718508409249</v>
      </c>
      <c r="DI51" s="9">
        <f t="shared" si="83"/>
        <v>141.56872063856258</v>
      </c>
      <c r="DJ51" s="9">
        <f t="shared" si="84"/>
        <v>129.27984065964509</v>
      </c>
      <c r="DK51" s="9">
        <f t="shared" si="85"/>
        <v>117.70525437366349</v>
      </c>
      <c r="DL51" s="9">
        <f t="shared" si="86"/>
        <v>106.91812542475367</v>
      </c>
      <c r="DM51" s="9">
        <f t="shared" si="87"/>
        <v>96.979288686424439</v>
      </c>
      <c r="DN51" s="9">
        <f t="shared" si="88"/>
        <v>87.936847665625507</v>
      </c>
      <c r="DO51" s="9">
        <f t="shared" si="89"/>
        <v>79.826080055664804</v>
      </c>
      <c r="DP51" s="9">
        <f t="shared" si="90"/>
        <v>72.669618752721732</v>
      </c>
      <c r="DQ51" s="9">
        <f t="shared" si="91"/>
        <v>66.477869859382864</v>
      </c>
      <c r="DR51" s="9">
        <f t="shared" si="92"/>
        <v>61.249623372386431</v>
      </c>
      <c r="DS51" s="9">
        <f t="shared" si="93"/>
        <v>56.972809476389784</v>
      </c>
      <c r="DT51" s="9">
        <f t="shared" si="94"/>
        <v>53.625353700176959</v>
      </c>
      <c r="DU51" s="9">
        <f t="shared" si="95"/>
        <v>51.17608728545018</v>
      </c>
      <c r="DV51" s="9">
        <f t="shared" si="96"/>
        <v>49.585674427839372</v>
      </c>
      <c r="DW51" s="9">
        <f t="shared" si="97"/>
        <v>48.807524911350953</v>
      </c>
      <c r="DX51" s="9">
        <f t="shared" si="98"/>
        <v>48.788668355715153</v>
      </c>
      <c r="DY51" s="9">
        <f t="shared" si="99"/>
        <v>49.470574131508869</v>
      </c>
      <c r="DZ51" s="9">
        <f t="shared" si="100"/>
        <v>50.789908348318512</v>
      </c>
      <c r="EA51" s="9">
        <f t="shared" si="101"/>
        <v>52.679225691039214</v>
      </c>
      <c r="EB51" s="9">
        <f t="shared" si="47"/>
        <v>55.067598933429352</v>
      </c>
      <c r="EC51" s="9">
        <f t="shared" si="48"/>
        <v>57.881192536716902</v>
      </c>
      <c r="ED51" s="9">
        <f t="shared" si="49"/>
        <v>61.043788857431622</v>
      </c>
      <c r="EE51" s="9">
        <f t="shared" si="50"/>
        <v>64.477276307953048</v>
      </c>
      <c r="EF51" s="9">
        <f t="shared" si="51"/>
        <v>68.102108618250625</v>
      </c>
      <c r="EG51" s="9">
        <f t="shared" si="52"/>
        <v>71.837743493341407</v>
      </c>
    </row>
    <row r="52" spans="6:137" x14ac:dyDescent="0.3">
      <c r="F52" s="17"/>
      <c r="G52" s="3">
        <v>300</v>
      </c>
      <c r="H52" s="2">
        <f t="shared" si="102"/>
        <v>280.28451209215393</v>
      </c>
      <c r="I52" s="2">
        <f t="shared" si="103"/>
        <v>260.73576311264429</v>
      </c>
      <c r="J52" s="2">
        <f t="shared" si="104"/>
        <v>241.51747131108533</v>
      </c>
      <c r="K52" s="2">
        <f t="shared" si="53"/>
        <v>222.78741419664433</v>
      </c>
      <c r="L52" s="2">
        <f t="shared" si="54"/>
        <v>204.6947041219058</v>
      </c>
      <c r="M52" s="2">
        <f t="shared" si="55"/>
        <v>187.37734377748512</v>
      </c>
      <c r="N52" s="2">
        <f t="shared" si="56"/>
        <v>170.96013071461999</v>
      </c>
      <c r="O52" s="2">
        <f t="shared" si="57"/>
        <v>155.55296157926736</v>
      </c>
      <c r="P52" s="2">
        <f t="shared" si="58"/>
        <v>141.24956633387421</v>
      </c>
      <c r="Q52" s="2">
        <f t="shared" si="59"/>
        <v>128.12668177591524</v>
      </c>
      <c r="R52" s="2">
        <f t="shared" si="60"/>
        <v>116.24365353369207</v>
      </c>
      <c r="S52" s="2">
        <f t="shared" si="61"/>
        <v>105.64243769963886</v>
      </c>
      <c r="T52" s="2">
        <f t="shared" si="62"/>
        <v>96.347958393682006</v>
      </c>
      <c r="U52" s="2">
        <f t="shared" si="63"/>
        <v>88.368766578936089</v>
      </c>
      <c r="V52" s="2">
        <f t="shared" si="64"/>
        <v>81.697938780615516</v>
      </c>
      <c r="W52" s="2">
        <f t="shared" si="65"/>
        <v>76.314152032704499</v>
      </c>
      <c r="X52" s="2">
        <f t="shared" si="66"/>
        <v>72.182873106760724</v>
      </c>
      <c r="Y52" s="2">
        <f t="shared" si="67"/>
        <v>69.257605287816105</v>
      </c>
      <c r="Z52" s="2">
        <f t="shared" si="68"/>
        <v>67.481143862800934</v>
      </c>
      <c r="AA52" s="2">
        <f t="shared" si="69"/>
        <v>66.786801156572508</v>
      </c>
      <c r="AB52" s="2">
        <f t="shared" si="70"/>
        <v>67.099572430483136</v>
      </c>
      <c r="AC52" s="2">
        <f t="shared" si="71"/>
        <v>68.337224339554197</v>
      </c>
      <c r="AD52" s="2">
        <f t="shared" si="72"/>
        <v>70.411297145055144</v>
      </c>
      <c r="AE52" s="2">
        <f t="shared" si="73"/>
        <v>73.228019904483943</v>
      </c>
      <c r="AF52" s="2">
        <f t="shared" si="74"/>
        <v>76.689144038853101</v>
      </c>
      <c r="AG52" s="2">
        <f t="shared" si="75"/>
        <v>80.692704871583643</v>
      </c>
      <c r="AH52" s="2">
        <f t="shared" si="76"/>
        <v>85.133723031206841</v>
      </c>
      <c r="AI52" s="2">
        <f t="shared" si="77"/>
        <v>89.904858287518977</v>
      </c>
      <c r="AJ52" s="2">
        <f t="shared" si="39"/>
        <v>94.897027861362886</v>
      </c>
      <c r="AK52" s="2">
        <v>100</v>
      </c>
      <c r="AM52" s="17"/>
      <c r="AN52" s="9">
        <f t="shared" si="6"/>
        <v>-2483999999.9999995</v>
      </c>
      <c r="AO52" s="9">
        <f t="shared" si="6"/>
        <v>-2320065460.9597206</v>
      </c>
      <c r="AP52" s="9">
        <f t="shared" si="7"/>
        <v>-2157524025.8559785</v>
      </c>
      <c r="AQ52" s="9">
        <f t="shared" si="8"/>
        <v>-1997743370.8511176</v>
      </c>
      <c r="AR52" s="9">
        <f t="shared" si="9"/>
        <v>-1842041172.8038466</v>
      </c>
      <c r="AS52" s="9">
        <f t="shared" si="10"/>
        <v>-1691662202.2458639</v>
      </c>
      <c r="AT52" s="9">
        <f t="shared" si="11"/>
        <v>-1547757796.7319365</v>
      </c>
      <c r="AU52" s="9">
        <f t="shared" si="12"/>
        <v>-1411368300.4571514</v>
      </c>
      <c r="AV52" s="9">
        <f t="shared" si="13"/>
        <v>-1283408897.9719012</v>
      </c>
      <c r="AW52" s="9">
        <f t="shared" si="14"/>
        <v>-1164659094.9985006</v>
      </c>
      <c r="AX52" s="9">
        <f t="shared" si="15"/>
        <v>-1055755919.9574316</v>
      </c>
      <c r="AY52" s="9">
        <f t="shared" si="16"/>
        <v>-957190747.88914645</v>
      </c>
      <c r="AZ52" s="9">
        <f t="shared" si="17"/>
        <v>-869309494.92669058</v>
      </c>
      <c r="BA52" s="9">
        <f t="shared" si="18"/>
        <v>-792315805.28607368</v>
      </c>
      <c r="BB52" s="9">
        <f t="shared" si="19"/>
        <v>-726276760.24558973</v>
      </c>
      <c r="BC52" s="9">
        <f t="shared" si="20"/>
        <v>-671130583.15480077</v>
      </c>
      <c r="BD52" s="9">
        <f t="shared" si="21"/>
        <v>-626695796.44784868</v>
      </c>
      <c r="BE52" s="9">
        <f t="shared" si="22"/>
        <v>-592681303.34100199</v>
      </c>
      <c r="BF52" s="9">
        <f t="shared" si="23"/>
        <v>-568696913.31224918</v>
      </c>
      <c r="BG52" s="9">
        <f t="shared" si="24"/>
        <v>-554263899.68821454</v>
      </c>
      <c r="BH52" s="9">
        <f t="shared" si="25"/>
        <v>-548825261.69864464</v>
      </c>
      <c r="BI52" s="9">
        <f t="shared" si="26"/>
        <v>-551755453.89483607</v>
      </c>
      <c r="BJ52" s="9">
        <f t="shared" si="27"/>
        <v>-562369435.02028883</v>
      </c>
      <c r="BK52" s="9">
        <f t="shared" si="28"/>
        <v>-579930969.55179524</v>
      </c>
      <c r="BL52" s="9">
        <f t="shared" si="29"/>
        <v>-603660183.11687362</v>
      </c>
      <c r="BM52" s="9">
        <f t="shared" si="30"/>
        <v>-632740424.71048748</v>
      </c>
      <c r="BN52" s="9">
        <f t="shared" si="31"/>
        <v>-666324523.00337672</v>
      </c>
      <c r="BO52" s="9">
        <f t="shared" si="32"/>
        <v>-703540541.91810036</v>
      </c>
      <c r="BP52" s="9">
        <f t="shared" si="33"/>
        <v>-743497144.54607534</v>
      </c>
      <c r="BQ52" s="9">
        <f t="shared" si="34"/>
        <v>-785288668.07384062</v>
      </c>
      <c r="BR52" s="9">
        <f t="shared" si="35"/>
        <v>-827999999.99999988</v>
      </c>
      <c r="BT52" s="17"/>
      <c r="BU52" s="9">
        <v>0</v>
      </c>
      <c r="BV52" s="9">
        <f t="shared" ref="BV52:CY52" si="112">$C$12/($C$13-BU52*$C$14)</f>
        <v>0.25</v>
      </c>
      <c r="BW52" s="9">
        <f t="shared" si="112"/>
        <v>0.26666666666666666</v>
      </c>
      <c r="BX52" s="9">
        <f t="shared" si="112"/>
        <v>0.26785714285714285</v>
      </c>
      <c r="BY52" s="9">
        <f t="shared" si="112"/>
        <v>0.26794258373205743</v>
      </c>
      <c r="BZ52" s="9">
        <f t="shared" si="112"/>
        <v>0.26794871794871794</v>
      </c>
      <c r="CA52" s="9">
        <f t="shared" si="112"/>
        <v>0.26794915836482308</v>
      </c>
      <c r="CB52" s="9">
        <f t="shared" si="112"/>
        <v>0.26794918998527245</v>
      </c>
      <c r="CC52" s="9">
        <f t="shared" si="112"/>
        <v>0.26794919225551855</v>
      </c>
      <c r="CD52" s="9">
        <f t="shared" si="112"/>
        <v>0.26794919241851489</v>
      </c>
      <c r="CE52" s="9">
        <f t="shared" si="112"/>
        <v>0.26794919243021753</v>
      </c>
      <c r="CF52" s="9">
        <f t="shared" si="112"/>
        <v>0.26794919243105775</v>
      </c>
      <c r="CG52" s="9">
        <f t="shared" si="112"/>
        <v>0.26794919243111803</v>
      </c>
      <c r="CH52" s="9">
        <f t="shared" si="112"/>
        <v>0.26794919243112236</v>
      </c>
      <c r="CI52" s="9">
        <f t="shared" si="112"/>
        <v>0.2679491924311227</v>
      </c>
      <c r="CJ52" s="9">
        <f t="shared" si="112"/>
        <v>0.2679491924311227</v>
      </c>
      <c r="CK52" s="9">
        <f t="shared" si="112"/>
        <v>0.2679491924311227</v>
      </c>
      <c r="CL52" s="9">
        <f t="shared" si="112"/>
        <v>0.2679491924311227</v>
      </c>
      <c r="CM52" s="9">
        <f t="shared" si="112"/>
        <v>0.2679491924311227</v>
      </c>
      <c r="CN52" s="9">
        <f t="shared" si="112"/>
        <v>0.2679491924311227</v>
      </c>
      <c r="CO52" s="9">
        <f t="shared" si="112"/>
        <v>0.2679491924311227</v>
      </c>
      <c r="CP52" s="9">
        <f t="shared" si="112"/>
        <v>0.2679491924311227</v>
      </c>
      <c r="CQ52" s="9">
        <f t="shared" si="112"/>
        <v>0.2679491924311227</v>
      </c>
      <c r="CR52" s="9">
        <f t="shared" si="112"/>
        <v>0.2679491924311227</v>
      </c>
      <c r="CS52" s="9">
        <f t="shared" si="112"/>
        <v>0.2679491924311227</v>
      </c>
      <c r="CT52" s="9">
        <f t="shared" si="112"/>
        <v>0.2679491924311227</v>
      </c>
      <c r="CU52" s="9">
        <f t="shared" si="112"/>
        <v>0.2679491924311227</v>
      </c>
      <c r="CV52" s="9">
        <f t="shared" si="112"/>
        <v>0.2679491924311227</v>
      </c>
      <c r="CW52" s="9">
        <f t="shared" si="112"/>
        <v>0.2679491924311227</v>
      </c>
      <c r="CX52" s="9">
        <f t="shared" si="112"/>
        <v>0.2679491924311227</v>
      </c>
      <c r="CY52" s="9">
        <f t="shared" si="112"/>
        <v>0.2679491924311227</v>
      </c>
      <c r="DB52" s="17"/>
      <c r="DC52" s="9">
        <f t="shared" si="37"/>
        <v>300</v>
      </c>
      <c r="DD52" s="9">
        <f t="shared" si="38"/>
        <v>215.10057131399284</v>
      </c>
      <c r="DE52" s="9">
        <f t="shared" si="79"/>
        <v>196.33110409635486</v>
      </c>
      <c r="DF52" s="9">
        <f t="shared" si="80"/>
        <v>181.84227107984131</v>
      </c>
      <c r="DG52" s="9">
        <f t="shared" si="81"/>
        <v>167.94098629795187</v>
      </c>
      <c r="DH52" s="9">
        <f t="shared" si="82"/>
        <v>154.48718508409249</v>
      </c>
      <c r="DI52" s="9">
        <f t="shared" si="83"/>
        <v>141.56872063856255</v>
      </c>
      <c r="DJ52" s="9">
        <f t="shared" si="84"/>
        <v>129.27984065964509</v>
      </c>
      <c r="DK52" s="9">
        <f t="shared" si="85"/>
        <v>117.70525437366348</v>
      </c>
      <c r="DL52" s="9">
        <f t="shared" si="86"/>
        <v>106.91812542475367</v>
      </c>
      <c r="DM52" s="9">
        <f t="shared" si="87"/>
        <v>96.979288686424439</v>
      </c>
      <c r="DN52" s="9">
        <f t="shared" si="88"/>
        <v>87.936847665625507</v>
      </c>
      <c r="DO52" s="9">
        <f t="shared" si="89"/>
        <v>79.826080055664804</v>
      </c>
      <c r="DP52" s="9">
        <f t="shared" si="90"/>
        <v>72.669618752721732</v>
      </c>
      <c r="DQ52" s="9">
        <f t="shared" si="91"/>
        <v>66.477869859382864</v>
      </c>
      <c r="DR52" s="9">
        <f t="shared" si="92"/>
        <v>61.249623372386431</v>
      </c>
      <c r="DS52" s="9">
        <f t="shared" si="93"/>
        <v>56.972809476389756</v>
      </c>
      <c r="DT52" s="9">
        <f t="shared" si="94"/>
        <v>53.625353700176937</v>
      </c>
      <c r="DU52" s="9">
        <f t="shared" si="95"/>
        <v>51.17608728545018</v>
      </c>
      <c r="DV52" s="9">
        <f t="shared" si="96"/>
        <v>49.585674427839365</v>
      </c>
      <c r="DW52" s="9">
        <f t="shared" si="97"/>
        <v>48.807524911350932</v>
      </c>
      <c r="DX52" s="9">
        <f t="shared" si="98"/>
        <v>48.788668355715131</v>
      </c>
      <c r="DY52" s="9">
        <f t="shared" si="99"/>
        <v>49.470574131508855</v>
      </c>
      <c r="DZ52" s="9">
        <f t="shared" si="100"/>
        <v>50.789908348318498</v>
      </c>
      <c r="EA52" s="9">
        <f t="shared" si="101"/>
        <v>52.6792256910392</v>
      </c>
      <c r="EB52" s="9">
        <f t="shared" si="47"/>
        <v>55.067598933429345</v>
      </c>
      <c r="EC52" s="9">
        <f t="shared" si="48"/>
        <v>57.881192536716895</v>
      </c>
      <c r="ED52" s="9">
        <f t="shared" si="49"/>
        <v>61.043788857431608</v>
      </c>
      <c r="EE52" s="9">
        <f t="shared" si="50"/>
        <v>64.477276307953048</v>
      </c>
      <c r="EF52" s="9">
        <f t="shared" si="51"/>
        <v>68.102108618250625</v>
      </c>
      <c r="EG52" s="9">
        <f t="shared" si="52"/>
        <v>71.837743493341407</v>
      </c>
    </row>
    <row r="53" spans="6:137" x14ac:dyDescent="0.3">
      <c r="F53" s="17"/>
      <c r="G53" s="3">
        <v>300</v>
      </c>
      <c r="H53" s="2">
        <f t="shared" si="102"/>
        <v>280.28451209215393</v>
      </c>
      <c r="I53" s="2">
        <f t="shared" si="103"/>
        <v>260.73576311264429</v>
      </c>
      <c r="J53" s="2">
        <f t="shared" si="104"/>
        <v>241.51747131108533</v>
      </c>
      <c r="K53" s="2">
        <f t="shared" si="53"/>
        <v>222.78741419664433</v>
      </c>
      <c r="L53" s="2">
        <f t="shared" si="54"/>
        <v>204.69470412190583</v>
      </c>
      <c r="M53" s="2">
        <f t="shared" si="55"/>
        <v>187.37734377748515</v>
      </c>
      <c r="N53" s="2">
        <f t="shared" si="56"/>
        <v>170.96013071462002</v>
      </c>
      <c r="O53" s="2">
        <f t="shared" si="57"/>
        <v>155.55296157926739</v>
      </c>
      <c r="P53" s="2">
        <f t="shared" si="58"/>
        <v>141.24956633387424</v>
      </c>
      <c r="Q53" s="2">
        <f t="shared" si="59"/>
        <v>128.12668177591524</v>
      </c>
      <c r="R53" s="2">
        <f t="shared" si="60"/>
        <v>116.24365353369208</v>
      </c>
      <c r="S53" s="2">
        <f t="shared" si="61"/>
        <v>105.64243769963888</v>
      </c>
      <c r="T53" s="2">
        <f t="shared" si="62"/>
        <v>96.347958393682021</v>
      </c>
      <c r="U53" s="2">
        <f t="shared" si="63"/>
        <v>88.368766578936103</v>
      </c>
      <c r="V53" s="2">
        <f t="shared" si="64"/>
        <v>81.697938780615516</v>
      </c>
      <c r="W53" s="2">
        <f t="shared" si="65"/>
        <v>76.314152032704499</v>
      </c>
      <c r="X53" s="2">
        <f t="shared" si="66"/>
        <v>72.182873106760724</v>
      </c>
      <c r="Y53" s="2">
        <f t="shared" si="67"/>
        <v>69.257605287816105</v>
      </c>
      <c r="Z53" s="2">
        <f t="shared" si="68"/>
        <v>67.481143862800934</v>
      </c>
      <c r="AA53" s="2">
        <f t="shared" si="69"/>
        <v>66.786801156572508</v>
      </c>
      <c r="AB53" s="2">
        <f t="shared" si="70"/>
        <v>67.099572430483136</v>
      </c>
      <c r="AC53" s="2">
        <f t="shared" si="71"/>
        <v>68.337224339554197</v>
      </c>
      <c r="AD53" s="2">
        <f t="shared" si="72"/>
        <v>70.411297145055158</v>
      </c>
      <c r="AE53" s="2">
        <f t="shared" si="73"/>
        <v>73.228019904483943</v>
      </c>
      <c r="AF53" s="2">
        <f t="shared" si="74"/>
        <v>76.689144038853101</v>
      </c>
      <c r="AG53" s="2">
        <f t="shared" si="75"/>
        <v>80.692704871583658</v>
      </c>
      <c r="AH53" s="2">
        <f t="shared" si="76"/>
        <v>85.133723031206856</v>
      </c>
      <c r="AI53" s="2">
        <f t="shared" si="77"/>
        <v>89.904858287518977</v>
      </c>
      <c r="AJ53" s="2">
        <f t="shared" si="39"/>
        <v>94.897027861362886</v>
      </c>
      <c r="AK53" s="2">
        <v>100</v>
      </c>
      <c r="AM53" s="17"/>
      <c r="AN53" s="9">
        <f t="shared" si="6"/>
        <v>-2483999999.9999995</v>
      </c>
      <c r="AO53" s="9">
        <f t="shared" si="6"/>
        <v>-2320065460.9597211</v>
      </c>
      <c r="AP53" s="9">
        <f t="shared" si="7"/>
        <v>-2157524025.855979</v>
      </c>
      <c r="AQ53" s="9">
        <f t="shared" si="8"/>
        <v>-1997743370.8511176</v>
      </c>
      <c r="AR53" s="9">
        <f t="shared" si="9"/>
        <v>-1842041172.8038468</v>
      </c>
      <c r="AS53" s="9">
        <f t="shared" si="10"/>
        <v>-1691662202.2458644</v>
      </c>
      <c r="AT53" s="9">
        <f t="shared" si="11"/>
        <v>-1547757796.7319367</v>
      </c>
      <c r="AU53" s="9">
        <f t="shared" si="12"/>
        <v>-1411368300.4571517</v>
      </c>
      <c r="AV53" s="9">
        <f t="shared" si="13"/>
        <v>-1283408897.9719014</v>
      </c>
      <c r="AW53" s="9">
        <f t="shared" si="14"/>
        <v>-1164659094.9985011</v>
      </c>
      <c r="AX53" s="9">
        <f t="shared" si="15"/>
        <v>-1055755919.9574317</v>
      </c>
      <c r="AY53" s="9">
        <f t="shared" si="16"/>
        <v>-957190747.88914657</v>
      </c>
      <c r="AZ53" s="9">
        <f t="shared" si="17"/>
        <v>-869309494.9266907</v>
      </c>
      <c r="BA53" s="9">
        <f t="shared" si="18"/>
        <v>-792315805.28607368</v>
      </c>
      <c r="BB53" s="9">
        <f t="shared" si="19"/>
        <v>-726276760.24558985</v>
      </c>
      <c r="BC53" s="9">
        <f t="shared" si="20"/>
        <v>-671130583.15480077</v>
      </c>
      <c r="BD53" s="9">
        <f t="shared" si="21"/>
        <v>-626695796.4478488</v>
      </c>
      <c r="BE53" s="9">
        <f t="shared" si="22"/>
        <v>-592681303.34100199</v>
      </c>
      <c r="BF53" s="9">
        <f t="shared" si="23"/>
        <v>-568696913.31224918</v>
      </c>
      <c r="BG53" s="9">
        <f t="shared" si="24"/>
        <v>-554263899.68821454</v>
      </c>
      <c r="BH53" s="9">
        <f t="shared" si="25"/>
        <v>-548825261.69864464</v>
      </c>
      <c r="BI53" s="9">
        <f t="shared" si="26"/>
        <v>-551755453.89483607</v>
      </c>
      <c r="BJ53" s="9">
        <f t="shared" si="27"/>
        <v>-562369435.02028883</v>
      </c>
      <c r="BK53" s="9">
        <f t="shared" si="28"/>
        <v>-579930969.55179536</v>
      </c>
      <c r="BL53" s="9">
        <f t="shared" si="29"/>
        <v>-603660183.11687362</v>
      </c>
      <c r="BM53" s="9">
        <f t="shared" si="30"/>
        <v>-632740424.71048748</v>
      </c>
      <c r="BN53" s="9">
        <f t="shared" si="31"/>
        <v>-666324523.00337684</v>
      </c>
      <c r="BO53" s="9">
        <f t="shared" si="32"/>
        <v>-703540541.91810048</v>
      </c>
      <c r="BP53" s="9">
        <f t="shared" si="33"/>
        <v>-743497144.54607534</v>
      </c>
      <c r="BQ53" s="9">
        <f t="shared" si="34"/>
        <v>-785288668.07384062</v>
      </c>
      <c r="BR53" s="9">
        <f t="shared" si="35"/>
        <v>-827999999.99999988</v>
      </c>
      <c r="BT53" s="17"/>
      <c r="BU53" s="9">
        <v>0</v>
      </c>
      <c r="BV53" s="9">
        <f t="shared" ref="BV53:CY53" si="113">$C$12/($C$13-BU53*$C$14)</f>
        <v>0.25</v>
      </c>
      <c r="BW53" s="9">
        <f t="shared" si="113"/>
        <v>0.26666666666666666</v>
      </c>
      <c r="BX53" s="9">
        <f t="shared" si="113"/>
        <v>0.26785714285714285</v>
      </c>
      <c r="BY53" s="9">
        <f t="shared" si="113"/>
        <v>0.26794258373205743</v>
      </c>
      <c r="BZ53" s="9">
        <f t="shared" si="113"/>
        <v>0.26794871794871794</v>
      </c>
      <c r="CA53" s="9">
        <f t="shared" si="113"/>
        <v>0.26794915836482308</v>
      </c>
      <c r="CB53" s="9">
        <f t="shared" si="113"/>
        <v>0.26794918998527245</v>
      </c>
      <c r="CC53" s="9">
        <f t="shared" si="113"/>
        <v>0.26794919225551855</v>
      </c>
      <c r="CD53" s="9">
        <f t="shared" si="113"/>
        <v>0.26794919241851489</v>
      </c>
      <c r="CE53" s="9">
        <f t="shared" si="113"/>
        <v>0.26794919243021753</v>
      </c>
      <c r="CF53" s="9">
        <f t="shared" si="113"/>
        <v>0.26794919243105775</v>
      </c>
      <c r="CG53" s="9">
        <f t="shared" si="113"/>
        <v>0.26794919243111803</v>
      </c>
      <c r="CH53" s="9">
        <f t="shared" si="113"/>
        <v>0.26794919243112236</v>
      </c>
      <c r="CI53" s="9">
        <f t="shared" si="113"/>
        <v>0.2679491924311227</v>
      </c>
      <c r="CJ53" s="9">
        <f t="shared" si="113"/>
        <v>0.2679491924311227</v>
      </c>
      <c r="CK53" s="9">
        <f t="shared" si="113"/>
        <v>0.2679491924311227</v>
      </c>
      <c r="CL53" s="9">
        <f t="shared" si="113"/>
        <v>0.2679491924311227</v>
      </c>
      <c r="CM53" s="9">
        <f t="shared" si="113"/>
        <v>0.2679491924311227</v>
      </c>
      <c r="CN53" s="9">
        <f t="shared" si="113"/>
        <v>0.2679491924311227</v>
      </c>
      <c r="CO53" s="9">
        <f t="shared" si="113"/>
        <v>0.2679491924311227</v>
      </c>
      <c r="CP53" s="9">
        <f t="shared" si="113"/>
        <v>0.2679491924311227</v>
      </c>
      <c r="CQ53" s="9">
        <f t="shared" si="113"/>
        <v>0.2679491924311227</v>
      </c>
      <c r="CR53" s="9">
        <f t="shared" si="113"/>
        <v>0.2679491924311227</v>
      </c>
      <c r="CS53" s="9">
        <f t="shared" si="113"/>
        <v>0.2679491924311227</v>
      </c>
      <c r="CT53" s="9">
        <f t="shared" si="113"/>
        <v>0.2679491924311227</v>
      </c>
      <c r="CU53" s="9">
        <f t="shared" si="113"/>
        <v>0.2679491924311227</v>
      </c>
      <c r="CV53" s="9">
        <f t="shared" si="113"/>
        <v>0.2679491924311227</v>
      </c>
      <c r="CW53" s="9">
        <f t="shared" si="113"/>
        <v>0.2679491924311227</v>
      </c>
      <c r="CX53" s="9">
        <f t="shared" si="113"/>
        <v>0.2679491924311227</v>
      </c>
      <c r="CY53" s="9">
        <f t="shared" si="113"/>
        <v>0.2679491924311227</v>
      </c>
      <c r="DB53" s="17"/>
      <c r="DC53" s="9">
        <f t="shared" si="37"/>
        <v>300</v>
      </c>
      <c r="DD53" s="9">
        <f t="shared" si="38"/>
        <v>215.10057131399284</v>
      </c>
      <c r="DE53" s="9">
        <f t="shared" si="79"/>
        <v>196.33110409635489</v>
      </c>
      <c r="DF53" s="9">
        <f t="shared" si="80"/>
        <v>181.84227107984131</v>
      </c>
      <c r="DG53" s="9">
        <f t="shared" si="81"/>
        <v>167.94098629795187</v>
      </c>
      <c r="DH53" s="9">
        <f t="shared" si="82"/>
        <v>154.48718508409252</v>
      </c>
      <c r="DI53" s="9">
        <f t="shared" si="83"/>
        <v>141.56872063856258</v>
      </c>
      <c r="DJ53" s="9">
        <f t="shared" si="84"/>
        <v>129.27984065964512</v>
      </c>
      <c r="DK53" s="9">
        <f t="shared" si="85"/>
        <v>117.70525437366351</v>
      </c>
      <c r="DL53" s="9">
        <f t="shared" si="86"/>
        <v>106.9181254247537</v>
      </c>
      <c r="DM53" s="9">
        <f t="shared" si="87"/>
        <v>96.979288686424454</v>
      </c>
      <c r="DN53" s="9">
        <f t="shared" si="88"/>
        <v>87.936847665625521</v>
      </c>
      <c r="DO53" s="9">
        <f t="shared" si="89"/>
        <v>79.826080055664818</v>
      </c>
      <c r="DP53" s="9">
        <f t="shared" si="90"/>
        <v>72.669618752721732</v>
      </c>
      <c r="DQ53" s="9">
        <f t="shared" si="91"/>
        <v>66.477869859382878</v>
      </c>
      <c r="DR53" s="9">
        <f t="shared" si="92"/>
        <v>61.249623372386431</v>
      </c>
      <c r="DS53" s="9">
        <f t="shared" si="93"/>
        <v>56.972809476389763</v>
      </c>
      <c r="DT53" s="9">
        <f t="shared" si="94"/>
        <v>53.625353700176937</v>
      </c>
      <c r="DU53" s="9">
        <f t="shared" si="95"/>
        <v>51.17608728545018</v>
      </c>
      <c r="DV53" s="9">
        <f t="shared" si="96"/>
        <v>49.585674427839365</v>
      </c>
      <c r="DW53" s="9">
        <f t="shared" si="97"/>
        <v>48.807524911350932</v>
      </c>
      <c r="DX53" s="9">
        <f t="shared" si="98"/>
        <v>48.788668355715131</v>
      </c>
      <c r="DY53" s="9">
        <f t="shared" si="99"/>
        <v>49.470574131508855</v>
      </c>
      <c r="DZ53" s="9">
        <f t="shared" si="100"/>
        <v>50.789908348318505</v>
      </c>
      <c r="EA53" s="9">
        <f t="shared" si="101"/>
        <v>52.6792256910392</v>
      </c>
      <c r="EB53" s="9">
        <f t="shared" si="47"/>
        <v>55.067598933429345</v>
      </c>
      <c r="EC53" s="9">
        <f t="shared" si="48"/>
        <v>57.881192536716902</v>
      </c>
      <c r="ED53" s="9">
        <f t="shared" si="49"/>
        <v>61.043788857431622</v>
      </c>
      <c r="EE53" s="9">
        <f t="shared" si="50"/>
        <v>64.477276307953048</v>
      </c>
      <c r="EF53" s="9">
        <f t="shared" si="51"/>
        <v>68.102108618250625</v>
      </c>
      <c r="EG53" s="9">
        <f t="shared" si="52"/>
        <v>71.837743493341407</v>
      </c>
    </row>
    <row r="54" spans="6:137" x14ac:dyDescent="0.3">
      <c r="F54" s="17"/>
      <c r="G54" s="3">
        <v>300</v>
      </c>
      <c r="H54" s="2">
        <f t="shared" si="102"/>
        <v>280.28451209215393</v>
      </c>
      <c r="I54" s="2">
        <f t="shared" si="103"/>
        <v>260.73576311264429</v>
      </c>
      <c r="J54" s="2">
        <f t="shared" si="104"/>
        <v>241.51747131108533</v>
      </c>
      <c r="K54" s="2">
        <f t="shared" si="53"/>
        <v>222.78741419664433</v>
      </c>
      <c r="L54" s="2">
        <f t="shared" si="54"/>
        <v>204.69470412190583</v>
      </c>
      <c r="M54" s="2">
        <f t="shared" si="55"/>
        <v>187.37734377748515</v>
      </c>
      <c r="N54" s="2">
        <f t="shared" si="56"/>
        <v>170.96013071462002</v>
      </c>
      <c r="O54" s="2">
        <f t="shared" si="57"/>
        <v>155.55296157926739</v>
      </c>
      <c r="P54" s="2">
        <f t="shared" si="58"/>
        <v>141.24956633387424</v>
      </c>
      <c r="Q54" s="2">
        <f t="shared" si="59"/>
        <v>128.12668177591524</v>
      </c>
      <c r="R54" s="2">
        <f t="shared" si="60"/>
        <v>116.24365353369208</v>
      </c>
      <c r="S54" s="2">
        <f t="shared" si="61"/>
        <v>105.64243769963888</v>
      </c>
      <c r="T54" s="2">
        <f t="shared" si="62"/>
        <v>96.347958393682006</v>
      </c>
      <c r="U54" s="2">
        <f t="shared" si="63"/>
        <v>88.368766578936089</v>
      </c>
      <c r="V54" s="2">
        <f t="shared" si="64"/>
        <v>81.69793878061553</v>
      </c>
      <c r="W54" s="2">
        <f t="shared" si="65"/>
        <v>76.314152032704527</v>
      </c>
      <c r="X54" s="2">
        <f t="shared" si="66"/>
        <v>72.182873106760724</v>
      </c>
      <c r="Y54" s="2">
        <f t="shared" si="67"/>
        <v>69.257605287816105</v>
      </c>
      <c r="Z54" s="2">
        <f t="shared" si="68"/>
        <v>67.481143862800934</v>
      </c>
      <c r="AA54" s="2">
        <f t="shared" si="69"/>
        <v>66.786801156572508</v>
      </c>
      <c r="AB54" s="2">
        <f t="shared" si="70"/>
        <v>67.099572430483136</v>
      </c>
      <c r="AC54" s="2">
        <f t="shared" si="71"/>
        <v>68.337224339554197</v>
      </c>
      <c r="AD54" s="2">
        <f t="shared" si="72"/>
        <v>70.411297145055144</v>
      </c>
      <c r="AE54" s="2">
        <f t="shared" si="73"/>
        <v>73.228019904483943</v>
      </c>
      <c r="AF54" s="2">
        <f t="shared" si="74"/>
        <v>76.689144038853101</v>
      </c>
      <c r="AG54" s="2">
        <f t="shared" si="75"/>
        <v>80.692704871583658</v>
      </c>
      <c r="AH54" s="2">
        <f t="shared" si="76"/>
        <v>85.133723031206856</v>
      </c>
      <c r="AI54" s="2">
        <f t="shared" si="77"/>
        <v>89.904858287518977</v>
      </c>
      <c r="AJ54" s="2">
        <f t="shared" si="39"/>
        <v>94.897027861362886</v>
      </c>
      <c r="AK54" s="2">
        <v>100</v>
      </c>
      <c r="AM54" s="17"/>
      <c r="AN54" s="9">
        <f t="shared" si="6"/>
        <v>-2483999999.9999995</v>
      </c>
      <c r="AO54" s="9">
        <f t="shared" si="6"/>
        <v>-2320065460.9597211</v>
      </c>
      <c r="AP54" s="9">
        <f t="shared" si="7"/>
        <v>-2157524025.855979</v>
      </c>
      <c r="AQ54" s="9">
        <f t="shared" si="8"/>
        <v>-1997743370.8511176</v>
      </c>
      <c r="AR54" s="9">
        <f t="shared" si="9"/>
        <v>-1842041172.8038468</v>
      </c>
      <c r="AS54" s="9">
        <f t="shared" si="10"/>
        <v>-1691662202.2458644</v>
      </c>
      <c r="AT54" s="9">
        <f t="shared" si="11"/>
        <v>-1547757796.7319367</v>
      </c>
      <c r="AU54" s="9">
        <f t="shared" si="12"/>
        <v>-1411368300.4571517</v>
      </c>
      <c r="AV54" s="9">
        <f t="shared" si="13"/>
        <v>-1283408897.9719014</v>
      </c>
      <c r="AW54" s="9">
        <f t="shared" si="14"/>
        <v>-1164659094.9985011</v>
      </c>
      <c r="AX54" s="9">
        <f t="shared" si="15"/>
        <v>-1055755919.9574317</v>
      </c>
      <c r="AY54" s="9">
        <f t="shared" si="16"/>
        <v>-957190747.88914657</v>
      </c>
      <c r="AZ54" s="9">
        <f t="shared" si="17"/>
        <v>-869309494.9266907</v>
      </c>
      <c r="BA54" s="9">
        <f t="shared" si="18"/>
        <v>-792315805.28607368</v>
      </c>
      <c r="BB54" s="9">
        <f t="shared" si="19"/>
        <v>-726276760.24558973</v>
      </c>
      <c r="BC54" s="9">
        <f t="shared" si="20"/>
        <v>-671130583.15480077</v>
      </c>
      <c r="BD54" s="9">
        <f t="shared" si="21"/>
        <v>-626695796.44784904</v>
      </c>
      <c r="BE54" s="9">
        <f t="shared" si="22"/>
        <v>-592681303.34100211</v>
      </c>
      <c r="BF54" s="9">
        <f t="shared" si="23"/>
        <v>-568696913.31224918</v>
      </c>
      <c r="BG54" s="9">
        <f t="shared" si="24"/>
        <v>-554263899.68821454</v>
      </c>
      <c r="BH54" s="9">
        <f t="shared" si="25"/>
        <v>-548825261.69864464</v>
      </c>
      <c r="BI54" s="9">
        <f t="shared" si="26"/>
        <v>-551755453.89483607</v>
      </c>
      <c r="BJ54" s="9">
        <f t="shared" si="27"/>
        <v>-562369435.02028883</v>
      </c>
      <c r="BK54" s="9">
        <f t="shared" si="28"/>
        <v>-579930969.55179524</v>
      </c>
      <c r="BL54" s="9">
        <f t="shared" si="29"/>
        <v>-603660183.11687362</v>
      </c>
      <c r="BM54" s="9">
        <f t="shared" si="30"/>
        <v>-632740424.71048748</v>
      </c>
      <c r="BN54" s="9">
        <f t="shared" si="31"/>
        <v>-666324523.00337684</v>
      </c>
      <c r="BO54" s="9">
        <f t="shared" si="32"/>
        <v>-703540541.91810048</v>
      </c>
      <c r="BP54" s="9">
        <f t="shared" si="33"/>
        <v>-743497144.54607534</v>
      </c>
      <c r="BQ54" s="9">
        <f t="shared" si="34"/>
        <v>-785288668.07384062</v>
      </c>
      <c r="BR54" s="9">
        <f t="shared" si="35"/>
        <v>-827999999.99999988</v>
      </c>
      <c r="BT54" s="17"/>
      <c r="BU54" s="9">
        <v>0</v>
      </c>
      <c r="BV54" s="9">
        <f t="shared" ref="BV54:CY54" si="114">$C$12/($C$13-BU54*$C$14)</f>
        <v>0.25</v>
      </c>
      <c r="BW54" s="9">
        <f t="shared" si="114"/>
        <v>0.26666666666666666</v>
      </c>
      <c r="BX54" s="9">
        <f t="shared" si="114"/>
        <v>0.26785714285714285</v>
      </c>
      <c r="BY54" s="9">
        <f t="shared" si="114"/>
        <v>0.26794258373205743</v>
      </c>
      <c r="BZ54" s="9">
        <f t="shared" si="114"/>
        <v>0.26794871794871794</v>
      </c>
      <c r="CA54" s="9">
        <f t="shared" si="114"/>
        <v>0.26794915836482308</v>
      </c>
      <c r="CB54" s="9">
        <f t="shared" si="114"/>
        <v>0.26794918998527245</v>
      </c>
      <c r="CC54" s="9">
        <f t="shared" si="114"/>
        <v>0.26794919225551855</v>
      </c>
      <c r="CD54" s="9">
        <f t="shared" si="114"/>
        <v>0.26794919241851489</v>
      </c>
      <c r="CE54" s="9">
        <f t="shared" si="114"/>
        <v>0.26794919243021753</v>
      </c>
      <c r="CF54" s="9">
        <f t="shared" si="114"/>
        <v>0.26794919243105775</v>
      </c>
      <c r="CG54" s="9">
        <f t="shared" si="114"/>
        <v>0.26794919243111803</v>
      </c>
      <c r="CH54" s="9">
        <f t="shared" si="114"/>
        <v>0.26794919243112236</v>
      </c>
      <c r="CI54" s="9">
        <f t="shared" si="114"/>
        <v>0.2679491924311227</v>
      </c>
      <c r="CJ54" s="9">
        <f t="shared" si="114"/>
        <v>0.2679491924311227</v>
      </c>
      <c r="CK54" s="9">
        <f t="shared" si="114"/>
        <v>0.2679491924311227</v>
      </c>
      <c r="CL54" s="9">
        <f t="shared" si="114"/>
        <v>0.2679491924311227</v>
      </c>
      <c r="CM54" s="9">
        <f t="shared" si="114"/>
        <v>0.2679491924311227</v>
      </c>
      <c r="CN54" s="9">
        <f t="shared" si="114"/>
        <v>0.2679491924311227</v>
      </c>
      <c r="CO54" s="9">
        <f t="shared" si="114"/>
        <v>0.2679491924311227</v>
      </c>
      <c r="CP54" s="9">
        <f t="shared" si="114"/>
        <v>0.2679491924311227</v>
      </c>
      <c r="CQ54" s="9">
        <f t="shared" si="114"/>
        <v>0.2679491924311227</v>
      </c>
      <c r="CR54" s="9">
        <f t="shared" si="114"/>
        <v>0.2679491924311227</v>
      </c>
      <c r="CS54" s="9">
        <f t="shared" si="114"/>
        <v>0.2679491924311227</v>
      </c>
      <c r="CT54" s="9">
        <f t="shared" si="114"/>
        <v>0.2679491924311227</v>
      </c>
      <c r="CU54" s="9">
        <f t="shared" si="114"/>
        <v>0.2679491924311227</v>
      </c>
      <c r="CV54" s="9">
        <f t="shared" si="114"/>
        <v>0.2679491924311227</v>
      </c>
      <c r="CW54" s="9">
        <f t="shared" si="114"/>
        <v>0.2679491924311227</v>
      </c>
      <c r="CX54" s="9">
        <f t="shared" si="114"/>
        <v>0.2679491924311227</v>
      </c>
      <c r="CY54" s="9">
        <f t="shared" si="114"/>
        <v>0.2679491924311227</v>
      </c>
      <c r="DB54" s="17"/>
      <c r="DC54" s="9">
        <f t="shared" si="37"/>
        <v>300</v>
      </c>
      <c r="DD54" s="9">
        <f t="shared" si="38"/>
        <v>215.10057131399284</v>
      </c>
      <c r="DE54" s="9">
        <f t="shared" si="79"/>
        <v>196.33110409635489</v>
      </c>
      <c r="DF54" s="9">
        <f t="shared" si="80"/>
        <v>181.84227107984131</v>
      </c>
      <c r="DG54" s="9">
        <f t="shared" si="81"/>
        <v>167.94098629795187</v>
      </c>
      <c r="DH54" s="9">
        <f t="shared" si="82"/>
        <v>154.48718508409252</v>
      </c>
      <c r="DI54" s="9">
        <f t="shared" si="83"/>
        <v>141.56872063856258</v>
      </c>
      <c r="DJ54" s="9">
        <f t="shared" si="84"/>
        <v>129.27984065964512</v>
      </c>
      <c r="DK54" s="9">
        <f t="shared" si="85"/>
        <v>117.70525437366351</v>
      </c>
      <c r="DL54" s="9">
        <f t="shared" si="86"/>
        <v>106.9181254247537</v>
      </c>
      <c r="DM54" s="9">
        <f t="shared" si="87"/>
        <v>96.979288686424454</v>
      </c>
      <c r="DN54" s="9">
        <f t="shared" si="88"/>
        <v>87.936847665625521</v>
      </c>
      <c r="DO54" s="9">
        <f t="shared" si="89"/>
        <v>79.826080055664818</v>
      </c>
      <c r="DP54" s="9">
        <f t="shared" si="90"/>
        <v>72.669618752721732</v>
      </c>
      <c r="DQ54" s="9">
        <f t="shared" si="91"/>
        <v>66.477869859382864</v>
      </c>
      <c r="DR54" s="9">
        <f t="shared" si="92"/>
        <v>61.249623372386431</v>
      </c>
      <c r="DS54" s="9">
        <f t="shared" si="93"/>
        <v>56.972809476389784</v>
      </c>
      <c r="DT54" s="9">
        <f t="shared" si="94"/>
        <v>53.625353700176952</v>
      </c>
      <c r="DU54" s="9">
        <f t="shared" si="95"/>
        <v>51.17608728545018</v>
      </c>
      <c r="DV54" s="9">
        <f t="shared" si="96"/>
        <v>49.585674427839365</v>
      </c>
      <c r="DW54" s="9">
        <f t="shared" si="97"/>
        <v>48.807524911350932</v>
      </c>
      <c r="DX54" s="9">
        <f t="shared" si="98"/>
        <v>48.788668355715131</v>
      </c>
      <c r="DY54" s="9">
        <f t="shared" si="99"/>
        <v>49.470574131508855</v>
      </c>
      <c r="DZ54" s="9">
        <f t="shared" si="100"/>
        <v>50.789908348318498</v>
      </c>
      <c r="EA54" s="9">
        <f t="shared" si="101"/>
        <v>52.6792256910392</v>
      </c>
      <c r="EB54" s="9">
        <f t="shared" si="47"/>
        <v>55.067598933429345</v>
      </c>
      <c r="EC54" s="9">
        <f t="shared" si="48"/>
        <v>57.881192536716902</v>
      </c>
      <c r="ED54" s="9">
        <f t="shared" si="49"/>
        <v>61.043788857431622</v>
      </c>
      <c r="EE54" s="9">
        <f t="shared" si="50"/>
        <v>64.477276307953048</v>
      </c>
      <c r="EF54" s="9">
        <f t="shared" si="51"/>
        <v>68.102108618250625</v>
      </c>
      <c r="EG54" s="9">
        <f t="shared" si="52"/>
        <v>71.837743493341407</v>
      </c>
    </row>
    <row r="55" spans="6:137" x14ac:dyDescent="0.3">
      <c r="F55" s="17"/>
      <c r="G55" s="3">
        <v>300</v>
      </c>
      <c r="H55" s="2">
        <f t="shared" si="102"/>
        <v>280.28451209215399</v>
      </c>
      <c r="I55" s="2">
        <f t="shared" si="103"/>
        <v>260.73576311264435</v>
      </c>
      <c r="J55" s="2">
        <f t="shared" si="104"/>
        <v>241.51747131108539</v>
      </c>
      <c r="K55" s="2">
        <f t="shared" si="53"/>
        <v>222.78741419664439</v>
      </c>
      <c r="L55" s="2">
        <f t="shared" si="54"/>
        <v>204.69470412190589</v>
      </c>
      <c r="M55" s="2">
        <f t="shared" si="55"/>
        <v>187.37734377748524</v>
      </c>
      <c r="N55" s="2">
        <f t="shared" si="56"/>
        <v>170.96013071462005</v>
      </c>
      <c r="O55" s="2">
        <f t="shared" si="57"/>
        <v>155.55296157926739</v>
      </c>
      <c r="P55" s="2">
        <f t="shared" si="58"/>
        <v>141.24956633387424</v>
      </c>
      <c r="Q55" s="2">
        <f t="shared" si="59"/>
        <v>128.12668177591527</v>
      </c>
      <c r="R55" s="2">
        <f t="shared" si="60"/>
        <v>116.24365353369208</v>
      </c>
      <c r="S55" s="2">
        <f t="shared" si="61"/>
        <v>105.64243769963888</v>
      </c>
      <c r="T55" s="2">
        <f t="shared" si="62"/>
        <v>96.347958393682021</v>
      </c>
      <c r="U55" s="2">
        <f t="shared" si="63"/>
        <v>88.368766578936132</v>
      </c>
      <c r="V55" s="2">
        <f t="shared" si="64"/>
        <v>81.697938780615544</v>
      </c>
      <c r="W55" s="2">
        <f t="shared" si="65"/>
        <v>76.314152032704527</v>
      </c>
      <c r="X55" s="2">
        <f t="shared" si="66"/>
        <v>72.182873106760738</v>
      </c>
      <c r="Y55" s="2">
        <f t="shared" si="67"/>
        <v>69.257605287816119</v>
      </c>
      <c r="Z55" s="2">
        <f t="shared" si="68"/>
        <v>67.481143862800963</v>
      </c>
      <c r="AA55" s="2">
        <f t="shared" si="69"/>
        <v>66.786801156572537</v>
      </c>
      <c r="AB55" s="2">
        <f t="shared" si="70"/>
        <v>67.099572430483164</v>
      </c>
      <c r="AC55" s="2">
        <f t="shared" si="71"/>
        <v>68.337224339554211</v>
      </c>
      <c r="AD55" s="2">
        <f t="shared" si="72"/>
        <v>70.411297145055158</v>
      </c>
      <c r="AE55" s="2">
        <f t="shared" si="73"/>
        <v>73.228019904483943</v>
      </c>
      <c r="AF55" s="2">
        <f t="shared" si="74"/>
        <v>76.689144038853101</v>
      </c>
      <c r="AG55" s="2">
        <f t="shared" si="75"/>
        <v>80.692704871583658</v>
      </c>
      <c r="AH55" s="2">
        <f t="shared" si="76"/>
        <v>85.13372303120687</v>
      </c>
      <c r="AI55" s="2">
        <f t="shared" si="77"/>
        <v>89.904858287519005</v>
      </c>
      <c r="AJ55" s="2">
        <f t="shared" si="39"/>
        <v>94.897027861362886</v>
      </c>
      <c r="AK55" s="2">
        <v>100</v>
      </c>
      <c r="AM55" s="17"/>
      <c r="AN55" s="9">
        <f t="shared" si="6"/>
        <v>-2483999999.9999995</v>
      </c>
      <c r="AO55" s="9">
        <f t="shared" si="6"/>
        <v>-2320065460.9597216</v>
      </c>
      <c r="AP55" s="9">
        <f t="shared" si="7"/>
        <v>-2157524025.855979</v>
      </c>
      <c r="AQ55" s="9">
        <f t="shared" si="8"/>
        <v>-1997743370.8511178</v>
      </c>
      <c r="AR55" s="9">
        <f t="shared" si="9"/>
        <v>-1842041172.8038471</v>
      </c>
      <c r="AS55" s="9">
        <f t="shared" si="10"/>
        <v>-1691662202.2458649</v>
      </c>
      <c r="AT55" s="9">
        <f t="shared" si="11"/>
        <v>-1547757796.7319374</v>
      </c>
      <c r="AU55" s="9">
        <f t="shared" si="12"/>
        <v>-1411368300.4571519</v>
      </c>
      <c r="AV55" s="9">
        <f t="shared" si="13"/>
        <v>-1283408897.9719014</v>
      </c>
      <c r="AW55" s="9">
        <f t="shared" si="14"/>
        <v>-1164659094.9985011</v>
      </c>
      <c r="AX55" s="9">
        <f t="shared" si="15"/>
        <v>-1055755919.9574319</v>
      </c>
      <c r="AY55" s="9">
        <f t="shared" si="16"/>
        <v>-957190747.88914669</v>
      </c>
      <c r="AZ55" s="9">
        <f t="shared" si="17"/>
        <v>-869309494.9266907</v>
      </c>
      <c r="BA55" s="9">
        <f t="shared" si="18"/>
        <v>-792315805.2860738</v>
      </c>
      <c r="BB55" s="9">
        <f t="shared" si="19"/>
        <v>-726276760.24559021</v>
      </c>
      <c r="BC55" s="9">
        <f t="shared" si="20"/>
        <v>-671130583.15480089</v>
      </c>
      <c r="BD55" s="9">
        <f t="shared" si="21"/>
        <v>-626695796.44784904</v>
      </c>
      <c r="BE55" s="9">
        <f t="shared" si="22"/>
        <v>-592681303.34100223</v>
      </c>
      <c r="BF55" s="9">
        <f t="shared" si="23"/>
        <v>-568696913.3122493</v>
      </c>
      <c r="BG55" s="9">
        <f t="shared" si="24"/>
        <v>-554263899.68821466</v>
      </c>
      <c r="BH55" s="9">
        <f t="shared" si="25"/>
        <v>-548825261.69864488</v>
      </c>
      <c r="BI55" s="9">
        <f t="shared" si="26"/>
        <v>-551755453.89483631</v>
      </c>
      <c r="BJ55" s="9">
        <f t="shared" si="27"/>
        <v>-562369435.02028894</v>
      </c>
      <c r="BK55" s="9">
        <f t="shared" si="28"/>
        <v>-579930969.55179536</v>
      </c>
      <c r="BL55" s="9">
        <f t="shared" si="29"/>
        <v>-603660183.11687362</v>
      </c>
      <c r="BM55" s="9">
        <f t="shared" si="30"/>
        <v>-632740424.71048748</v>
      </c>
      <c r="BN55" s="9">
        <f t="shared" si="31"/>
        <v>-666324523.00337696</v>
      </c>
      <c r="BO55" s="9">
        <f t="shared" si="32"/>
        <v>-703540541.9181006</v>
      </c>
      <c r="BP55" s="9">
        <f t="shared" si="33"/>
        <v>-743497144.54607558</v>
      </c>
      <c r="BQ55" s="9">
        <f t="shared" si="34"/>
        <v>-785288668.07384062</v>
      </c>
      <c r="BR55" s="9">
        <f t="shared" si="35"/>
        <v>-827999999.99999988</v>
      </c>
      <c r="BT55" s="17"/>
      <c r="BU55" s="9">
        <v>0</v>
      </c>
      <c r="BV55" s="9">
        <f t="shared" ref="BV55:CY55" si="115">$C$12/($C$13-BU55*$C$14)</f>
        <v>0.25</v>
      </c>
      <c r="BW55" s="9">
        <f t="shared" si="115"/>
        <v>0.26666666666666666</v>
      </c>
      <c r="BX55" s="9">
        <f t="shared" si="115"/>
        <v>0.26785714285714285</v>
      </c>
      <c r="BY55" s="9">
        <f t="shared" si="115"/>
        <v>0.26794258373205743</v>
      </c>
      <c r="BZ55" s="9">
        <f t="shared" si="115"/>
        <v>0.26794871794871794</v>
      </c>
      <c r="CA55" s="9">
        <f t="shared" si="115"/>
        <v>0.26794915836482308</v>
      </c>
      <c r="CB55" s="9">
        <f t="shared" si="115"/>
        <v>0.26794918998527245</v>
      </c>
      <c r="CC55" s="9">
        <f t="shared" si="115"/>
        <v>0.26794919225551855</v>
      </c>
      <c r="CD55" s="9">
        <f t="shared" si="115"/>
        <v>0.26794919241851489</v>
      </c>
      <c r="CE55" s="9">
        <f t="shared" si="115"/>
        <v>0.26794919243021753</v>
      </c>
      <c r="CF55" s="9">
        <f t="shared" si="115"/>
        <v>0.26794919243105775</v>
      </c>
      <c r="CG55" s="9">
        <f t="shared" si="115"/>
        <v>0.26794919243111803</v>
      </c>
      <c r="CH55" s="9">
        <f t="shared" si="115"/>
        <v>0.26794919243112236</v>
      </c>
      <c r="CI55" s="9">
        <f t="shared" si="115"/>
        <v>0.2679491924311227</v>
      </c>
      <c r="CJ55" s="9">
        <f t="shared" si="115"/>
        <v>0.2679491924311227</v>
      </c>
      <c r="CK55" s="9">
        <f t="shared" si="115"/>
        <v>0.2679491924311227</v>
      </c>
      <c r="CL55" s="9">
        <f t="shared" si="115"/>
        <v>0.2679491924311227</v>
      </c>
      <c r="CM55" s="9">
        <f t="shared" si="115"/>
        <v>0.2679491924311227</v>
      </c>
      <c r="CN55" s="9">
        <f t="shared" si="115"/>
        <v>0.2679491924311227</v>
      </c>
      <c r="CO55" s="9">
        <f t="shared" si="115"/>
        <v>0.2679491924311227</v>
      </c>
      <c r="CP55" s="9">
        <f t="shared" si="115"/>
        <v>0.2679491924311227</v>
      </c>
      <c r="CQ55" s="9">
        <f t="shared" si="115"/>
        <v>0.2679491924311227</v>
      </c>
      <c r="CR55" s="9">
        <f t="shared" si="115"/>
        <v>0.2679491924311227</v>
      </c>
      <c r="CS55" s="9">
        <f t="shared" si="115"/>
        <v>0.2679491924311227</v>
      </c>
      <c r="CT55" s="9">
        <f t="shared" si="115"/>
        <v>0.2679491924311227</v>
      </c>
      <c r="CU55" s="9">
        <f t="shared" si="115"/>
        <v>0.2679491924311227</v>
      </c>
      <c r="CV55" s="9">
        <f t="shared" si="115"/>
        <v>0.2679491924311227</v>
      </c>
      <c r="CW55" s="9">
        <f t="shared" si="115"/>
        <v>0.2679491924311227</v>
      </c>
      <c r="CX55" s="9">
        <f t="shared" si="115"/>
        <v>0.2679491924311227</v>
      </c>
      <c r="CY55" s="9">
        <f t="shared" si="115"/>
        <v>0.2679491924311227</v>
      </c>
      <c r="DB55" s="17"/>
      <c r="DC55" s="9">
        <f t="shared" si="37"/>
        <v>300</v>
      </c>
      <c r="DD55" s="9">
        <f t="shared" si="38"/>
        <v>215.1005713139929</v>
      </c>
      <c r="DE55" s="9">
        <f t="shared" si="79"/>
        <v>196.33110409635489</v>
      </c>
      <c r="DF55" s="9">
        <f t="shared" si="80"/>
        <v>181.84227107984134</v>
      </c>
      <c r="DG55" s="9">
        <f t="shared" si="81"/>
        <v>167.94098629795189</v>
      </c>
      <c r="DH55" s="9">
        <f t="shared" si="82"/>
        <v>154.48718508409254</v>
      </c>
      <c r="DI55" s="9">
        <f t="shared" si="83"/>
        <v>141.56872063856264</v>
      </c>
      <c r="DJ55" s="9">
        <f t="shared" si="84"/>
        <v>129.27984065964515</v>
      </c>
      <c r="DK55" s="9">
        <f t="shared" si="85"/>
        <v>117.70525437366351</v>
      </c>
      <c r="DL55" s="9">
        <f t="shared" si="86"/>
        <v>106.9181254247537</v>
      </c>
      <c r="DM55" s="9">
        <f t="shared" si="87"/>
        <v>96.979288686424468</v>
      </c>
      <c r="DN55" s="9">
        <f t="shared" si="88"/>
        <v>87.936847665625521</v>
      </c>
      <c r="DO55" s="9">
        <f t="shared" si="89"/>
        <v>79.826080055664818</v>
      </c>
      <c r="DP55" s="9">
        <f t="shared" si="90"/>
        <v>72.669618752721732</v>
      </c>
      <c r="DQ55" s="9">
        <f t="shared" si="91"/>
        <v>66.477869859382892</v>
      </c>
      <c r="DR55" s="9">
        <f t="shared" si="92"/>
        <v>61.249623372386445</v>
      </c>
      <c r="DS55" s="9">
        <f t="shared" si="93"/>
        <v>56.972809476389791</v>
      </c>
      <c r="DT55" s="9">
        <f t="shared" si="94"/>
        <v>53.625353700176959</v>
      </c>
      <c r="DU55" s="9">
        <f t="shared" si="95"/>
        <v>51.176087285450194</v>
      </c>
      <c r="DV55" s="9">
        <f t="shared" si="96"/>
        <v>49.585674427839372</v>
      </c>
      <c r="DW55" s="9">
        <f t="shared" si="97"/>
        <v>48.807524911350953</v>
      </c>
      <c r="DX55" s="9">
        <f t="shared" si="98"/>
        <v>48.788668355715153</v>
      </c>
      <c r="DY55" s="9">
        <f t="shared" si="99"/>
        <v>49.470574131508869</v>
      </c>
      <c r="DZ55" s="9">
        <f t="shared" si="100"/>
        <v>50.789908348318512</v>
      </c>
      <c r="EA55" s="9">
        <f t="shared" si="101"/>
        <v>52.6792256910392</v>
      </c>
      <c r="EB55" s="9">
        <f t="shared" si="47"/>
        <v>55.067598933429345</v>
      </c>
      <c r="EC55" s="9">
        <f t="shared" si="48"/>
        <v>57.88119253671691</v>
      </c>
      <c r="ED55" s="9">
        <f t="shared" si="49"/>
        <v>61.043788857431629</v>
      </c>
      <c r="EE55" s="9">
        <f t="shared" si="50"/>
        <v>64.477276307953062</v>
      </c>
      <c r="EF55" s="9">
        <f t="shared" si="51"/>
        <v>68.102108618250625</v>
      </c>
      <c r="EG55" s="9">
        <f t="shared" si="52"/>
        <v>71.837743493341407</v>
      </c>
    </row>
    <row r="56" spans="6:137" x14ac:dyDescent="0.3">
      <c r="F56" s="17"/>
      <c r="G56" s="3">
        <v>300</v>
      </c>
      <c r="H56" s="2">
        <f t="shared" si="102"/>
        <v>280.28451209215399</v>
      </c>
      <c r="I56" s="2">
        <f t="shared" si="103"/>
        <v>260.73576311264435</v>
      </c>
      <c r="J56" s="2">
        <f t="shared" si="104"/>
        <v>241.51747131108539</v>
      </c>
      <c r="K56" s="2">
        <f t="shared" si="53"/>
        <v>222.78741419664439</v>
      </c>
      <c r="L56" s="2">
        <f t="shared" si="54"/>
        <v>204.69470412190589</v>
      </c>
      <c r="M56" s="2">
        <f t="shared" si="55"/>
        <v>187.37734377748524</v>
      </c>
      <c r="N56" s="2">
        <f t="shared" si="56"/>
        <v>170.96013071462011</v>
      </c>
      <c r="O56" s="2">
        <f t="shared" si="57"/>
        <v>155.55296157926745</v>
      </c>
      <c r="P56" s="2">
        <f t="shared" si="58"/>
        <v>141.2495663338743</v>
      </c>
      <c r="Q56" s="2">
        <f t="shared" si="59"/>
        <v>128.12668177591533</v>
      </c>
      <c r="R56" s="2">
        <f t="shared" si="60"/>
        <v>116.24365353369214</v>
      </c>
      <c r="S56" s="2">
        <f t="shared" si="61"/>
        <v>105.64243769963892</v>
      </c>
      <c r="T56" s="2">
        <f t="shared" si="62"/>
        <v>96.347958393682063</v>
      </c>
      <c r="U56" s="2">
        <f t="shared" si="63"/>
        <v>88.368766578936146</v>
      </c>
      <c r="V56" s="2">
        <f t="shared" si="64"/>
        <v>81.697938780615559</v>
      </c>
      <c r="W56" s="2">
        <f t="shared" si="65"/>
        <v>76.314152032704555</v>
      </c>
      <c r="X56" s="2">
        <f t="shared" si="66"/>
        <v>72.182873106760752</v>
      </c>
      <c r="Y56" s="2">
        <f t="shared" si="67"/>
        <v>69.257605287816148</v>
      </c>
      <c r="Z56" s="2">
        <f t="shared" si="68"/>
        <v>67.481143862800991</v>
      </c>
      <c r="AA56" s="2">
        <f t="shared" si="69"/>
        <v>66.786801156572565</v>
      </c>
      <c r="AB56" s="2">
        <f t="shared" si="70"/>
        <v>67.099572430483192</v>
      </c>
      <c r="AC56" s="2">
        <f t="shared" si="71"/>
        <v>68.337224339554254</v>
      </c>
      <c r="AD56" s="2">
        <f t="shared" si="72"/>
        <v>70.411297145055187</v>
      </c>
      <c r="AE56" s="2">
        <f t="shared" si="73"/>
        <v>73.228019904483972</v>
      </c>
      <c r="AF56" s="2">
        <f t="shared" si="74"/>
        <v>76.689144038853144</v>
      </c>
      <c r="AG56" s="2">
        <f t="shared" si="75"/>
        <v>80.692704871583686</v>
      </c>
      <c r="AH56" s="2">
        <f t="shared" si="76"/>
        <v>85.133723031206898</v>
      </c>
      <c r="AI56" s="2">
        <f t="shared" si="77"/>
        <v>89.904858287519019</v>
      </c>
      <c r="AJ56" s="2">
        <f t="shared" si="39"/>
        <v>94.897027861362915</v>
      </c>
      <c r="AK56" s="2">
        <v>100</v>
      </c>
      <c r="AM56" s="17"/>
      <c r="AN56" s="9">
        <f t="shared" si="6"/>
        <v>-2483999999.9999995</v>
      </c>
      <c r="AO56" s="9">
        <f t="shared" si="6"/>
        <v>-2320065460.9597216</v>
      </c>
      <c r="AP56" s="9">
        <f t="shared" si="7"/>
        <v>-2157524025.855979</v>
      </c>
      <c r="AQ56" s="9">
        <f t="shared" si="8"/>
        <v>-1997743370.8511181</v>
      </c>
      <c r="AR56" s="9">
        <f t="shared" si="9"/>
        <v>-1842041172.8038471</v>
      </c>
      <c r="AS56" s="9">
        <f t="shared" si="10"/>
        <v>-1691662202.2458649</v>
      </c>
      <c r="AT56" s="9">
        <f t="shared" si="11"/>
        <v>-1547757796.7319376</v>
      </c>
      <c r="AU56" s="9">
        <f t="shared" si="12"/>
        <v>-1411368300.4571524</v>
      </c>
      <c r="AV56" s="9">
        <f t="shared" si="13"/>
        <v>-1283408897.9719019</v>
      </c>
      <c r="AW56" s="9">
        <f t="shared" si="14"/>
        <v>-1164659094.9985015</v>
      </c>
      <c r="AX56" s="9">
        <f t="shared" si="15"/>
        <v>-1055755919.9574324</v>
      </c>
      <c r="AY56" s="9">
        <f t="shared" si="16"/>
        <v>-957190747.8891468</v>
      </c>
      <c r="AZ56" s="9">
        <f t="shared" si="17"/>
        <v>-869309494.92669106</v>
      </c>
      <c r="BA56" s="9">
        <f t="shared" si="18"/>
        <v>-792315805.28607404</v>
      </c>
      <c r="BB56" s="9">
        <f t="shared" si="19"/>
        <v>-726276760.24559021</v>
      </c>
      <c r="BC56" s="9">
        <f t="shared" si="20"/>
        <v>-671130583.15480101</v>
      </c>
      <c r="BD56" s="9">
        <f t="shared" si="21"/>
        <v>-626695796.44784927</v>
      </c>
      <c r="BE56" s="9">
        <f t="shared" si="22"/>
        <v>-592681303.34100235</v>
      </c>
      <c r="BF56" s="9">
        <f t="shared" si="23"/>
        <v>-568696913.31224954</v>
      </c>
      <c r="BG56" s="9">
        <f t="shared" si="24"/>
        <v>-554263899.6882149</v>
      </c>
      <c r="BH56" s="9">
        <f t="shared" si="25"/>
        <v>-548825261.698645</v>
      </c>
      <c r="BI56" s="9">
        <f t="shared" si="26"/>
        <v>-551755453.89483654</v>
      </c>
      <c r="BJ56" s="9">
        <f t="shared" si="27"/>
        <v>-562369435.0202893</v>
      </c>
      <c r="BK56" s="9">
        <f t="shared" si="28"/>
        <v>-579930969.55179548</v>
      </c>
      <c r="BL56" s="9">
        <f t="shared" si="29"/>
        <v>-603660183.11687398</v>
      </c>
      <c r="BM56" s="9">
        <f t="shared" si="30"/>
        <v>-632740424.71048772</v>
      </c>
      <c r="BN56" s="9">
        <f t="shared" si="31"/>
        <v>-666324523.00337708</v>
      </c>
      <c r="BO56" s="9">
        <f t="shared" si="32"/>
        <v>-703540541.91810083</v>
      </c>
      <c r="BP56" s="9">
        <f t="shared" si="33"/>
        <v>-743497144.5460757</v>
      </c>
      <c r="BQ56" s="9">
        <f t="shared" si="34"/>
        <v>-785288668.07384074</v>
      </c>
      <c r="BR56" s="9">
        <f t="shared" si="35"/>
        <v>-827999999.99999988</v>
      </c>
      <c r="BT56" s="17"/>
      <c r="BU56" s="9">
        <v>0</v>
      </c>
      <c r="BV56" s="9">
        <f t="shared" ref="BV56:CY56" si="116">$C$12/($C$13-BU56*$C$14)</f>
        <v>0.25</v>
      </c>
      <c r="BW56" s="9">
        <f t="shared" si="116"/>
        <v>0.26666666666666666</v>
      </c>
      <c r="BX56" s="9">
        <f t="shared" si="116"/>
        <v>0.26785714285714285</v>
      </c>
      <c r="BY56" s="9">
        <f t="shared" si="116"/>
        <v>0.26794258373205743</v>
      </c>
      <c r="BZ56" s="9">
        <f t="shared" si="116"/>
        <v>0.26794871794871794</v>
      </c>
      <c r="CA56" s="9">
        <f t="shared" si="116"/>
        <v>0.26794915836482308</v>
      </c>
      <c r="CB56" s="9">
        <f t="shared" si="116"/>
        <v>0.26794918998527245</v>
      </c>
      <c r="CC56" s="9">
        <f t="shared" si="116"/>
        <v>0.26794919225551855</v>
      </c>
      <c r="CD56" s="9">
        <f t="shared" si="116"/>
        <v>0.26794919241851489</v>
      </c>
      <c r="CE56" s="9">
        <f t="shared" si="116"/>
        <v>0.26794919243021753</v>
      </c>
      <c r="CF56" s="9">
        <f t="shared" si="116"/>
        <v>0.26794919243105775</v>
      </c>
      <c r="CG56" s="9">
        <f t="shared" si="116"/>
        <v>0.26794919243111803</v>
      </c>
      <c r="CH56" s="9">
        <f t="shared" si="116"/>
        <v>0.26794919243112236</v>
      </c>
      <c r="CI56" s="9">
        <f t="shared" si="116"/>
        <v>0.2679491924311227</v>
      </c>
      <c r="CJ56" s="9">
        <f t="shared" si="116"/>
        <v>0.2679491924311227</v>
      </c>
      <c r="CK56" s="9">
        <f t="shared" si="116"/>
        <v>0.2679491924311227</v>
      </c>
      <c r="CL56" s="9">
        <f t="shared" si="116"/>
        <v>0.2679491924311227</v>
      </c>
      <c r="CM56" s="9">
        <f t="shared" si="116"/>
        <v>0.2679491924311227</v>
      </c>
      <c r="CN56" s="9">
        <f t="shared" si="116"/>
        <v>0.2679491924311227</v>
      </c>
      <c r="CO56" s="9">
        <f t="shared" si="116"/>
        <v>0.2679491924311227</v>
      </c>
      <c r="CP56" s="9">
        <f t="shared" si="116"/>
        <v>0.2679491924311227</v>
      </c>
      <c r="CQ56" s="9">
        <f t="shared" si="116"/>
        <v>0.2679491924311227</v>
      </c>
      <c r="CR56" s="9">
        <f t="shared" si="116"/>
        <v>0.2679491924311227</v>
      </c>
      <c r="CS56" s="9">
        <f t="shared" si="116"/>
        <v>0.2679491924311227</v>
      </c>
      <c r="CT56" s="9">
        <f t="shared" si="116"/>
        <v>0.2679491924311227</v>
      </c>
      <c r="CU56" s="9">
        <f t="shared" si="116"/>
        <v>0.2679491924311227</v>
      </c>
      <c r="CV56" s="9">
        <f t="shared" si="116"/>
        <v>0.2679491924311227</v>
      </c>
      <c r="CW56" s="9">
        <f t="shared" si="116"/>
        <v>0.2679491924311227</v>
      </c>
      <c r="CX56" s="9">
        <f t="shared" si="116"/>
        <v>0.2679491924311227</v>
      </c>
      <c r="CY56" s="9">
        <f t="shared" si="116"/>
        <v>0.2679491924311227</v>
      </c>
      <c r="DB56" s="17"/>
      <c r="DC56" s="9">
        <f t="shared" si="37"/>
        <v>300</v>
      </c>
      <c r="DD56" s="9">
        <f t="shared" si="38"/>
        <v>215.1005713139929</v>
      </c>
      <c r="DE56" s="9">
        <f t="shared" si="79"/>
        <v>196.33110409635489</v>
      </c>
      <c r="DF56" s="9">
        <f t="shared" si="80"/>
        <v>181.84227107984134</v>
      </c>
      <c r="DG56" s="9">
        <f t="shared" si="81"/>
        <v>167.94098629795189</v>
      </c>
      <c r="DH56" s="9">
        <f t="shared" si="82"/>
        <v>154.48718508409254</v>
      </c>
      <c r="DI56" s="9">
        <f t="shared" si="83"/>
        <v>141.56872063856264</v>
      </c>
      <c r="DJ56" s="9">
        <f t="shared" si="84"/>
        <v>129.27984065964517</v>
      </c>
      <c r="DK56" s="9">
        <f t="shared" si="85"/>
        <v>117.70525437366355</v>
      </c>
      <c r="DL56" s="9">
        <f t="shared" si="86"/>
        <v>106.91812542475374</v>
      </c>
      <c r="DM56" s="9">
        <f t="shared" si="87"/>
        <v>96.979288686424511</v>
      </c>
      <c r="DN56" s="9">
        <f t="shared" si="88"/>
        <v>87.936847665625564</v>
      </c>
      <c r="DO56" s="9">
        <f t="shared" si="89"/>
        <v>79.826080055664846</v>
      </c>
      <c r="DP56" s="9">
        <f t="shared" si="90"/>
        <v>72.669618752721775</v>
      </c>
      <c r="DQ56" s="9">
        <f t="shared" si="91"/>
        <v>66.477869859382906</v>
      </c>
      <c r="DR56" s="9">
        <f t="shared" si="92"/>
        <v>61.249623372386452</v>
      </c>
      <c r="DS56" s="9">
        <f t="shared" si="93"/>
        <v>56.972809476389806</v>
      </c>
      <c r="DT56" s="9">
        <f t="shared" si="94"/>
        <v>53.625353700176966</v>
      </c>
      <c r="DU56" s="9">
        <f t="shared" si="95"/>
        <v>51.176087285450208</v>
      </c>
      <c r="DV56" s="9">
        <f t="shared" si="96"/>
        <v>49.585674427839393</v>
      </c>
      <c r="DW56" s="9">
        <f t="shared" si="97"/>
        <v>48.807524911350967</v>
      </c>
      <c r="DX56" s="9">
        <f t="shared" si="98"/>
        <v>48.788668355715174</v>
      </c>
      <c r="DY56" s="9">
        <f t="shared" si="99"/>
        <v>49.470574131508897</v>
      </c>
      <c r="DZ56" s="9">
        <f t="shared" si="100"/>
        <v>50.789908348318527</v>
      </c>
      <c r="EA56" s="9">
        <f t="shared" si="101"/>
        <v>52.679225691039228</v>
      </c>
      <c r="EB56" s="9">
        <f t="shared" si="47"/>
        <v>55.067598933429373</v>
      </c>
      <c r="EC56" s="9">
        <f t="shared" si="48"/>
        <v>57.881192536716924</v>
      </c>
      <c r="ED56" s="9">
        <f t="shared" si="49"/>
        <v>61.043788857431643</v>
      </c>
      <c r="EE56" s="9">
        <f t="shared" si="50"/>
        <v>64.477276307953076</v>
      </c>
      <c r="EF56" s="9">
        <f t="shared" si="51"/>
        <v>68.102108618250639</v>
      </c>
      <c r="EG56" s="9">
        <f t="shared" si="52"/>
        <v>71.837743493341407</v>
      </c>
    </row>
    <row r="57" spans="6:137" x14ac:dyDescent="0.3">
      <c r="F57" s="17"/>
      <c r="G57" s="3">
        <v>300</v>
      </c>
      <c r="H57" s="2">
        <f t="shared" si="102"/>
        <v>280.28451209215399</v>
      </c>
      <c r="I57" s="2">
        <f t="shared" si="103"/>
        <v>260.73576311264435</v>
      </c>
      <c r="J57" s="2">
        <f t="shared" si="104"/>
        <v>241.51747131108539</v>
      </c>
      <c r="K57" s="2">
        <f t="shared" si="53"/>
        <v>222.78741419664439</v>
      </c>
      <c r="L57" s="2">
        <f t="shared" si="54"/>
        <v>204.69470412190589</v>
      </c>
      <c r="M57" s="2">
        <f t="shared" si="55"/>
        <v>187.37734377748524</v>
      </c>
      <c r="N57" s="2">
        <f t="shared" si="56"/>
        <v>170.96013071462011</v>
      </c>
      <c r="O57" s="2">
        <f t="shared" si="57"/>
        <v>155.55296157926745</v>
      </c>
      <c r="P57" s="2">
        <f t="shared" si="58"/>
        <v>141.2495663338743</v>
      </c>
      <c r="Q57" s="2">
        <f t="shared" si="59"/>
        <v>128.1266817759153</v>
      </c>
      <c r="R57" s="2">
        <f t="shared" si="60"/>
        <v>116.24365353369214</v>
      </c>
      <c r="S57" s="2">
        <f t="shared" si="61"/>
        <v>105.64243769963893</v>
      </c>
      <c r="T57" s="2">
        <f t="shared" si="62"/>
        <v>96.347958393682063</v>
      </c>
      <c r="U57" s="2">
        <f t="shared" si="63"/>
        <v>88.368766578936146</v>
      </c>
      <c r="V57" s="2">
        <f t="shared" si="64"/>
        <v>81.697938780615573</v>
      </c>
      <c r="W57" s="2">
        <f t="shared" si="65"/>
        <v>76.314152032704555</v>
      </c>
      <c r="X57" s="2">
        <f t="shared" si="66"/>
        <v>72.182873106760766</v>
      </c>
      <c r="Y57" s="2">
        <f t="shared" si="67"/>
        <v>69.257605287816148</v>
      </c>
      <c r="Z57" s="2">
        <f t="shared" si="68"/>
        <v>67.481143862800991</v>
      </c>
      <c r="AA57" s="2">
        <f t="shared" si="69"/>
        <v>66.786801156572565</v>
      </c>
      <c r="AB57" s="2">
        <f t="shared" si="70"/>
        <v>67.099572430483192</v>
      </c>
      <c r="AC57" s="2">
        <f t="shared" si="71"/>
        <v>68.337224339554254</v>
      </c>
      <c r="AD57" s="2">
        <f t="shared" si="72"/>
        <v>70.411297145055187</v>
      </c>
      <c r="AE57" s="2">
        <f t="shared" si="73"/>
        <v>73.228019904483972</v>
      </c>
      <c r="AF57" s="2">
        <f t="shared" si="74"/>
        <v>76.689144038853144</v>
      </c>
      <c r="AG57" s="2">
        <f t="shared" si="75"/>
        <v>80.692704871583686</v>
      </c>
      <c r="AH57" s="2">
        <f t="shared" si="76"/>
        <v>85.133723031206884</v>
      </c>
      <c r="AI57" s="2">
        <f t="shared" si="77"/>
        <v>89.904858287519005</v>
      </c>
      <c r="AJ57" s="2">
        <f t="shared" si="39"/>
        <v>94.897027861362886</v>
      </c>
      <c r="AK57" s="2">
        <v>100</v>
      </c>
      <c r="AM57" s="17"/>
      <c r="AN57" s="9">
        <f t="shared" si="6"/>
        <v>-2483999999.9999995</v>
      </c>
      <c r="AO57" s="9">
        <f t="shared" si="6"/>
        <v>-2320065460.9597216</v>
      </c>
      <c r="AP57" s="9">
        <f t="shared" si="7"/>
        <v>-2157524025.855979</v>
      </c>
      <c r="AQ57" s="9">
        <f t="shared" si="8"/>
        <v>-1997743370.8511181</v>
      </c>
      <c r="AR57" s="9">
        <f t="shared" si="9"/>
        <v>-1842041172.8038471</v>
      </c>
      <c r="AS57" s="9">
        <f t="shared" si="10"/>
        <v>-1691662202.2458649</v>
      </c>
      <c r="AT57" s="9">
        <f t="shared" si="11"/>
        <v>-1547757796.7319374</v>
      </c>
      <c r="AU57" s="9">
        <f t="shared" si="12"/>
        <v>-1411368300.4571524</v>
      </c>
      <c r="AV57" s="9">
        <f t="shared" si="13"/>
        <v>-1283408897.9719019</v>
      </c>
      <c r="AW57" s="9">
        <f t="shared" si="14"/>
        <v>-1164659094.9985015</v>
      </c>
      <c r="AX57" s="9">
        <f t="shared" si="15"/>
        <v>-1055755919.9574322</v>
      </c>
      <c r="AY57" s="9">
        <f t="shared" si="16"/>
        <v>-957190747.8891468</v>
      </c>
      <c r="AZ57" s="9">
        <f t="shared" si="17"/>
        <v>-869309494.92669129</v>
      </c>
      <c r="BA57" s="9">
        <f t="shared" si="18"/>
        <v>-792315805.28607404</v>
      </c>
      <c r="BB57" s="9">
        <f t="shared" si="19"/>
        <v>-726276760.24559033</v>
      </c>
      <c r="BC57" s="9">
        <f t="shared" si="20"/>
        <v>-671130583.15480113</v>
      </c>
      <c r="BD57" s="9">
        <f t="shared" si="21"/>
        <v>-626695796.44784927</v>
      </c>
      <c r="BE57" s="9">
        <f t="shared" si="22"/>
        <v>-592681303.34100246</v>
      </c>
      <c r="BF57" s="9">
        <f t="shared" si="23"/>
        <v>-568696913.31224954</v>
      </c>
      <c r="BG57" s="9">
        <f t="shared" si="24"/>
        <v>-554263899.68821502</v>
      </c>
      <c r="BH57" s="9">
        <f t="shared" si="25"/>
        <v>-548825261.698645</v>
      </c>
      <c r="BI57" s="9">
        <f t="shared" si="26"/>
        <v>-551755453.89483654</v>
      </c>
      <c r="BJ57" s="9">
        <f t="shared" si="27"/>
        <v>-562369435.0202893</v>
      </c>
      <c r="BK57" s="9">
        <f t="shared" si="28"/>
        <v>-579930969.5517956</v>
      </c>
      <c r="BL57" s="9">
        <f t="shared" si="29"/>
        <v>-603660183.11687398</v>
      </c>
      <c r="BM57" s="9">
        <f t="shared" si="30"/>
        <v>-632740424.71048772</v>
      </c>
      <c r="BN57" s="9">
        <f t="shared" si="31"/>
        <v>-666324523.00337708</v>
      </c>
      <c r="BO57" s="9">
        <f t="shared" si="32"/>
        <v>-703540541.91810083</v>
      </c>
      <c r="BP57" s="9">
        <f t="shared" si="33"/>
        <v>-743497144.54607558</v>
      </c>
      <c r="BQ57" s="9">
        <f t="shared" si="34"/>
        <v>-785288668.07384074</v>
      </c>
      <c r="BR57" s="9">
        <f t="shared" si="35"/>
        <v>-827999999.99999988</v>
      </c>
      <c r="BT57" s="17"/>
      <c r="BU57" s="9">
        <v>0</v>
      </c>
      <c r="BV57" s="9">
        <f t="shared" ref="BV57:CY57" si="117">$C$12/($C$13-BU57*$C$14)</f>
        <v>0.25</v>
      </c>
      <c r="BW57" s="9">
        <f t="shared" si="117"/>
        <v>0.26666666666666666</v>
      </c>
      <c r="BX57" s="9">
        <f t="shared" si="117"/>
        <v>0.26785714285714285</v>
      </c>
      <c r="BY57" s="9">
        <f t="shared" si="117"/>
        <v>0.26794258373205743</v>
      </c>
      <c r="BZ57" s="9">
        <f t="shared" si="117"/>
        <v>0.26794871794871794</v>
      </c>
      <c r="CA57" s="9">
        <f t="shared" si="117"/>
        <v>0.26794915836482308</v>
      </c>
      <c r="CB57" s="9">
        <f t="shared" si="117"/>
        <v>0.26794918998527245</v>
      </c>
      <c r="CC57" s="9">
        <f t="shared" si="117"/>
        <v>0.26794919225551855</v>
      </c>
      <c r="CD57" s="9">
        <f t="shared" si="117"/>
        <v>0.26794919241851489</v>
      </c>
      <c r="CE57" s="9">
        <f t="shared" si="117"/>
        <v>0.26794919243021753</v>
      </c>
      <c r="CF57" s="9">
        <f t="shared" si="117"/>
        <v>0.26794919243105775</v>
      </c>
      <c r="CG57" s="9">
        <f t="shared" si="117"/>
        <v>0.26794919243111803</v>
      </c>
      <c r="CH57" s="9">
        <f t="shared" si="117"/>
        <v>0.26794919243112236</v>
      </c>
      <c r="CI57" s="9">
        <f t="shared" si="117"/>
        <v>0.2679491924311227</v>
      </c>
      <c r="CJ57" s="9">
        <f t="shared" si="117"/>
        <v>0.2679491924311227</v>
      </c>
      <c r="CK57" s="9">
        <f t="shared" si="117"/>
        <v>0.2679491924311227</v>
      </c>
      <c r="CL57" s="9">
        <f t="shared" si="117"/>
        <v>0.2679491924311227</v>
      </c>
      <c r="CM57" s="9">
        <f t="shared" si="117"/>
        <v>0.2679491924311227</v>
      </c>
      <c r="CN57" s="9">
        <f t="shared" si="117"/>
        <v>0.2679491924311227</v>
      </c>
      <c r="CO57" s="9">
        <f t="shared" si="117"/>
        <v>0.2679491924311227</v>
      </c>
      <c r="CP57" s="9">
        <f t="shared" si="117"/>
        <v>0.2679491924311227</v>
      </c>
      <c r="CQ57" s="9">
        <f t="shared" si="117"/>
        <v>0.2679491924311227</v>
      </c>
      <c r="CR57" s="9">
        <f t="shared" si="117"/>
        <v>0.2679491924311227</v>
      </c>
      <c r="CS57" s="9">
        <f t="shared" si="117"/>
        <v>0.2679491924311227</v>
      </c>
      <c r="CT57" s="9">
        <f t="shared" si="117"/>
        <v>0.2679491924311227</v>
      </c>
      <c r="CU57" s="9">
        <f t="shared" si="117"/>
        <v>0.2679491924311227</v>
      </c>
      <c r="CV57" s="9">
        <f t="shared" si="117"/>
        <v>0.2679491924311227</v>
      </c>
      <c r="CW57" s="9">
        <f t="shared" si="117"/>
        <v>0.2679491924311227</v>
      </c>
      <c r="CX57" s="9">
        <f t="shared" si="117"/>
        <v>0.2679491924311227</v>
      </c>
      <c r="CY57" s="9">
        <f t="shared" si="117"/>
        <v>0.2679491924311227</v>
      </c>
      <c r="DB57" s="17"/>
      <c r="DC57" s="9">
        <f t="shared" si="37"/>
        <v>300</v>
      </c>
      <c r="DD57" s="9">
        <f t="shared" si="38"/>
        <v>215.1005713139929</v>
      </c>
      <c r="DE57" s="9">
        <f t="shared" si="79"/>
        <v>196.33110409635489</v>
      </c>
      <c r="DF57" s="9">
        <f t="shared" si="80"/>
        <v>181.84227107984134</v>
      </c>
      <c r="DG57" s="9">
        <f t="shared" si="81"/>
        <v>167.94098629795189</v>
      </c>
      <c r="DH57" s="9">
        <f t="shared" si="82"/>
        <v>154.48718508409254</v>
      </c>
      <c r="DI57" s="9">
        <f t="shared" si="83"/>
        <v>141.56872063856264</v>
      </c>
      <c r="DJ57" s="9">
        <f t="shared" si="84"/>
        <v>129.27984065964517</v>
      </c>
      <c r="DK57" s="9">
        <f t="shared" si="85"/>
        <v>117.70525437366355</v>
      </c>
      <c r="DL57" s="9">
        <f t="shared" si="86"/>
        <v>106.91812542475374</v>
      </c>
      <c r="DM57" s="9">
        <f t="shared" si="87"/>
        <v>96.979288686424496</v>
      </c>
      <c r="DN57" s="9">
        <f t="shared" si="88"/>
        <v>87.93684766562555</v>
      </c>
      <c r="DO57" s="9">
        <f t="shared" si="89"/>
        <v>79.82608005566486</v>
      </c>
      <c r="DP57" s="9">
        <f t="shared" si="90"/>
        <v>72.669618752721775</v>
      </c>
      <c r="DQ57" s="9">
        <f t="shared" si="91"/>
        <v>66.477869859382906</v>
      </c>
      <c r="DR57" s="9">
        <f t="shared" si="92"/>
        <v>61.249623372386466</v>
      </c>
      <c r="DS57" s="9">
        <f t="shared" si="93"/>
        <v>56.972809476389806</v>
      </c>
      <c r="DT57" s="9">
        <f t="shared" si="94"/>
        <v>53.62535370017698</v>
      </c>
      <c r="DU57" s="9">
        <f t="shared" si="95"/>
        <v>51.176087285450208</v>
      </c>
      <c r="DV57" s="9">
        <f t="shared" si="96"/>
        <v>49.5856744278394</v>
      </c>
      <c r="DW57" s="9">
        <f t="shared" si="97"/>
        <v>48.807524911350967</v>
      </c>
      <c r="DX57" s="9">
        <f t="shared" si="98"/>
        <v>48.788668355715174</v>
      </c>
      <c r="DY57" s="9">
        <f t="shared" si="99"/>
        <v>49.470574131508897</v>
      </c>
      <c r="DZ57" s="9">
        <f t="shared" si="100"/>
        <v>50.789908348318527</v>
      </c>
      <c r="EA57" s="9">
        <f t="shared" si="101"/>
        <v>52.679225691039228</v>
      </c>
      <c r="EB57" s="9">
        <f t="shared" si="47"/>
        <v>55.067598933429373</v>
      </c>
      <c r="EC57" s="9">
        <f t="shared" si="48"/>
        <v>57.881192536716924</v>
      </c>
      <c r="ED57" s="9">
        <f t="shared" si="49"/>
        <v>61.043788857431643</v>
      </c>
      <c r="EE57" s="9">
        <f t="shared" si="50"/>
        <v>64.477276307953062</v>
      </c>
      <c r="EF57" s="9">
        <f t="shared" si="51"/>
        <v>68.102108618250625</v>
      </c>
      <c r="EG57" s="9">
        <f t="shared" si="52"/>
        <v>71.837743493341407</v>
      </c>
    </row>
    <row r="58" spans="6:137" x14ac:dyDescent="0.3">
      <c r="F58" s="17"/>
      <c r="G58" s="3">
        <v>300</v>
      </c>
      <c r="H58" s="2">
        <f t="shared" si="102"/>
        <v>280.28451209215399</v>
      </c>
      <c r="I58" s="2">
        <f t="shared" si="103"/>
        <v>260.73576311264435</v>
      </c>
      <c r="J58" s="2">
        <f t="shared" si="104"/>
        <v>241.51747131108539</v>
      </c>
      <c r="K58" s="2">
        <f t="shared" si="53"/>
        <v>222.78741419664439</v>
      </c>
      <c r="L58" s="2">
        <f t="shared" si="54"/>
        <v>204.69470412190589</v>
      </c>
      <c r="M58" s="2">
        <f t="shared" si="55"/>
        <v>187.37734377748524</v>
      </c>
      <c r="N58" s="2">
        <f t="shared" si="56"/>
        <v>170.96013071462005</v>
      </c>
      <c r="O58" s="2">
        <f t="shared" si="57"/>
        <v>155.55296157926745</v>
      </c>
      <c r="P58" s="2">
        <f t="shared" si="58"/>
        <v>141.2495663338743</v>
      </c>
      <c r="Q58" s="2">
        <f t="shared" si="59"/>
        <v>128.1266817759153</v>
      </c>
      <c r="R58" s="2">
        <f t="shared" si="60"/>
        <v>116.24365353369213</v>
      </c>
      <c r="S58" s="2">
        <f t="shared" si="61"/>
        <v>105.6424376996389</v>
      </c>
      <c r="T58" s="2">
        <f t="shared" si="62"/>
        <v>96.347958393682063</v>
      </c>
      <c r="U58" s="2">
        <f t="shared" si="63"/>
        <v>88.368766578936146</v>
      </c>
      <c r="V58" s="2">
        <f t="shared" si="64"/>
        <v>81.697938780615559</v>
      </c>
      <c r="W58" s="2">
        <f t="shared" si="65"/>
        <v>76.314152032704555</v>
      </c>
      <c r="X58" s="2">
        <f t="shared" si="66"/>
        <v>72.182873106760752</v>
      </c>
      <c r="Y58" s="2">
        <f t="shared" si="67"/>
        <v>69.257605287816148</v>
      </c>
      <c r="Z58" s="2">
        <f t="shared" si="68"/>
        <v>67.481143862800991</v>
      </c>
      <c r="AA58" s="2">
        <f t="shared" si="69"/>
        <v>66.786801156572565</v>
      </c>
      <c r="AB58" s="2">
        <f t="shared" si="70"/>
        <v>67.099572430483192</v>
      </c>
      <c r="AC58" s="2">
        <f t="shared" si="71"/>
        <v>68.337224339554254</v>
      </c>
      <c r="AD58" s="2">
        <f t="shared" si="72"/>
        <v>70.411297145055187</v>
      </c>
      <c r="AE58" s="2">
        <f t="shared" si="73"/>
        <v>73.228019904483972</v>
      </c>
      <c r="AF58" s="2">
        <f t="shared" si="74"/>
        <v>76.689144038853144</v>
      </c>
      <c r="AG58" s="2">
        <f t="shared" si="75"/>
        <v>80.692704871583686</v>
      </c>
      <c r="AH58" s="2">
        <f t="shared" si="76"/>
        <v>85.133723031206884</v>
      </c>
      <c r="AI58" s="2">
        <f t="shared" si="77"/>
        <v>89.904858287519005</v>
      </c>
      <c r="AJ58" s="2">
        <f t="shared" si="39"/>
        <v>94.897027861362886</v>
      </c>
      <c r="AK58" s="2">
        <v>100</v>
      </c>
      <c r="AM58" s="17"/>
      <c r="AN58" s="9">
        <f t="shared" si="6"/>
        <v>-2483999999.9999995</v>
      </c>
      <c r="AO58" s="9">
        <f t="shared" si="6"/>
        <v>-2320065460.9597216</v>
      </c>
      <c r="AP58" s="9">
        <f t="shared" si="7"/>
        <v>-2157524025.855979</v>
      </c>
      <c r="AQ58" s="9">
        <f t="shared" si="8"/>
        <v>-1997743370.8511178</v>
      </c>
      <c r="AR58" s="9">
        <f t="shared" si="9"/>
        <v>-1842041172.8038471</v>
      </c>
      <c r="AS58" s="9">
        <f t="shared" si="10"/>
        <v>-1691662202.2458649</v>
      </c>
      <c r="AT58" s="9">
        <f t="shared" si="11"/>
        <v>-1547757796.7319374</v>
      </c>
      <c r="AU58" s="9">
        <f t="shared" si="12"/>
        <v>-1411368300.4571521</v>
      </c>
      <c r="AV58" s="9">
        <f t="shared" si="13"/>
        <v>-1283408897.9719019</v>
      </c>
      <c r="AW58" s="9">
        <f t="shared" si="14"/>
        <v>-1164659094.9985015</v>
      </c>
      <c r="AX58" s="9">
        <f t="shared" si="15"/>
        <v>-1055755919.9574322</v>
      </c>
      <c r="AY58" s="9">
        <f t="shared" si="16"/>
        <v>-957190747.88914669</v>
      </c>
      <c r="AZ58" s="9">
        <f t="shared" si="17"/>
        <v>-869309494.92669106</v>
      </c>
      <c r="BA58" s="9">
        <f t="shared" si="18"/>
        <v>-792315805.28607404</v>
      </c>
      <c r="BB58" s="9">
        <f t="shared" si="19"/>
        <v>-726276760.24559021</v>
      </c>
      <c r="BC58" s="9">
        <f t="shared" si="20"/>
        <v>-671130583.15480101</v>
      </c>
      <c r="BD58" s="9">
        <f t="shared" si="21"/>
        <v>-626695796.44784927</v>
      </c>
      <c r="BE58" s="9">
        <f t="shared" si="22"/>
        <v>-592681303.34100235</v>
      </c>
      <c r="BF58" s="9">
        <f t="shared" si="23"/>
        <v>-568696913.31224954</v>
      </c>
      <c r="BG58" s="9">
        <f t="shared" si="24"/>
        <v>-554263899.68821502</v>
      </c>
      <c r="BH58" s="9">
        <f t="shared" si="25"/>
        <v>-548825261.698645</v>
      </c>
      <c r="BI58" s="9">
        <f t="shared" si="26"/>
        <v>-551755453.89483654</v>
      </c>
      <c r="BJ58" s="9">
        <f t="shared" si="27"/>
        <v>-562369435.0202893</v>
      </c>
      <c r="BK58" s="9">
        <f t="shared" si="28"/>
        <v>-579930969.5517956</v>
      </c>
      <c r="BL58" s="9">
        <f t="shared" si="29"/>
        <v>-603660183.11687398</v>
      </c>
      <c r="BM58" s="9">
        <f t="shared" si="30"/>
        <v>-632740424.71048772</v>
      </c>
      <c r="BN58" s="9">
        <f t="shared" si="31"/>
        <v>-666324523.00337708</v>
      </c>
      <c r="BO58" s="9">
        <f t="shared" si="32"/>
        <v>-703540541.91810071</v>
      </c>
      <c r="BP58" s="9">
        <f t="shared" si="33"/>
        <v>-743497144.54607558</v>
      </c>
      <c r="BQ58" s="9">
        <f t="shared" si="34"/>
        <v>-785288668.07384062</v>
      </c>
      <c r="BR58" s="9">
        <f t="shared" si="35"/>
        <v>-827999999.99999988</v>
      </c>
      <c r="BT58" s="17"/>
      <c r="BU58" s="9">
        <v>0</v>
      </c>
      <c r="BV58" s="9">
        <f t="shared" ref="BV58:CY58" si="118">$C$12/($C$13-BU58*$C$14)</f>
        <v>0.25</v>
      </c>
      <c r="BW58" s="9">
        <f t="shared" si="118"/>
        <v>0.26666666666666666</v>
      </c>
      <c r="BX58" s="9">
        <f t="shared" si="118"/>
        <v>0.26785714285714285</v>
      </c>
      <c r="BY58" s="9">
        <f t="shared" si="118"/>
        <v>0.26794258373205743</v>
      </c>
      <c r="BZ58" s="9">
        <f t="shared" si="118"/>
        <v>0.26794871794871794</v>
      </c>
      <c r="CA58" s="9">
        <f t="shared" si="118"/>
        <v>0.26794915836482308</v>
      </c>
      <c r="CB58" s="9">
        <f t="shared" si="118"/>
        <v>0.26794918998527245</v>
      </c>
      <c r="CC58" s="9">
        <f t="shared" si="118"/>
        <v>0.26794919225551855</v>
      </c>
      <c r="CD58" s="9">
        <f t="shared" si="118"/>
        <v>0.26794919241851489</v>
      </c>
      <c r="CE58" s="9">
        <f t="shared" si="118"/>
        <v>0.26794919243021753</v>
      </c>
      <c r="CF58" s="9">
        <f t="shared" si="118"/>
        <v>0.26794919243105775</v>
      </c>
      <c r="CG58" s="9">
        <f t="shared" si="118"/>
        <v>0.26794919243111803</v>
      </c>
      <c r="CH58" s="9">
        <f t="shared" si="118"/>
        <v>0.26794919243112236</v>
      </c>
      <c r="CI58" s="9">
        <f t="shared" si="118"/>
        <v>0.2679491924311227</v>
      </c>
      <c r="CJ58" s="9">
        <f t="shared" si="118"/>
        <v>0.2679491924311227</v>
      </c>
      <c r="CK58" s="9">
        <f t="shared" si="118"/>
        <v>0.2679491924311227</v>
      </c>
      <c r="CL58" s="9">
        <f t="shared" si="118"/>
        <v>0.2679491924311227</v>
      </c>
      <c r="CM58" s="9">
        <f t="shared" si="118"/>
        <v>0.2679491924311227</v>
      </c>
      <c r="CN58" s="9">
        <f t="shared" si="118"/>
        <v>0.2679491924311227</v>
      </c>
      <c r="CO58" s="9">
        <f t="shared" si="118"/>
        <v>0.2679491924311227</v>
      </c>
      <c r="CP58" s="9">
        <f t="shared" si="118"/>
        <v>0.2679491924311227</v>
      </c>
      <c r="CQ58" s="9">
        <f t="shared" si="118"/>
        <v>0.2679491924311227</v>
      </c>
      <c r="CR58" s="9">
        <f t="shared" si="118"/>
        <v>0.2679491924311227</v>
      </c>
      <c r="CS58" s="9">
        <f t="shared" si="118"/>
        <v>0.2679491924311227</v>
      </c>
      <c r="CT58" s="9">
        <f t="shared" si="118"/>
        <v>0.2679491924311227</v>
      </c>
      <c r="CU58" s="9">
        <f t="shared" si="118"/>
        <v>0.2679491924311227</v>
      </c>
      <c r="CV58" s="9">
        <f t="shared" si="118"/>
        <v>0.2679491924311227</v>
      </c>
      <c r="CW58" s="9">
        <f t="shared" si="118"/>
        <v>0.2679491924311227</v>
      </c>
      <c r="CX58" s="9">
        <f t="shared" si="118"/>
        <v>0.2679491924311227</v>
      </c>
      <c r="CY58" s="9">
        <f t="shared" si="118"/>
        <v>0.2679491924311227</v>
      </c>
      <c r="DB58" s="17"/>
      <c r="DC58" s="9">
        <f t="shared" si="37"/>
        <v>300</v>
      </c>
      <c r="DD58" s="9">
        <f t="shared" si="38"/>
        <v>215.1005713139929</v>
      </c>
      <c r="DE58" s="9">
        <f t="shared" si="79"/>
        <v>196.33110409635489</v>
      </c>
      <c r="DF58" s="9">
        <f t="shared" si="80"/>
        <v>181.84227107984134</v>
      </c>
      <c r="DG58" s="9">
        <f t="shared" si="81"/>
        <v>167.94098629795189</v>
      </c>
      <c r="DH58" s="9">
        <f t="shared" si="82"/>
        <v>154.48718508409254</v>
      </c>
      <c r="DI58" s="9">
        <f t="shared" si="83"/>
        <v>141.56872063856264</v>
      </c>
      <c r="DJ58" s="9">
        <f t="shared" si="84"/>
        <v>129.27984065964515</v>
      </c>
      <c r="DK58" s="9">
        <f t="shared" si="85"/>
        <v>117.70525437366354</v>
      </c>
      <c r="DL58" s="9">
        <f t="shared" si="86"/>
        <v>106.91812542475374</v>
      </c>
      <c r="DM58" s="9">
        <f t="shared" si="87"/>
        <v>96.979288686424496</v>
      </c>
      <c r="DN58" s="9">
        <f t="shared" si="88"/>
        <v>87.93684766562555</v>
      </c>
      <c r="DO58" s="9">
        <f t="shared" si="89"/>
        <v>79.826080055664832</v>
      </c>
      <c r="DP58" s="9">
        <f t="shared" si="90"/>
        <v>72.669618752721775</v>
      </c>
      <c r="DQ58" s="9">
        <f t="shared" si="91"/>
        <v>66.477869859382906</v>
      </c>
      <c r="DR58" s="9">
        <f t="shared" si="92"/>
        <v>61.249623372386452</v>
      </c>
      <c r="DS58" s="9">
        <f t="shared" si="93"/>
        <v>56.972809476389806</v>
      </c>
      <c r="DT58" s="9">
        <f t="shared" si="94"/>
        <v>53.625353700176966</v>
      </c>
      <c r="DU58" s="9">
        <f t="shared" si="95"/>
        <v>51.176087285450208</v>
      </c>
      <c r="DV58" s="9">
        <f t="shared" si="96"/>
        <v>49.5856744278394</v>
      </c>
      <c r="DW58" s="9">
        <f t="shared" si="97"/>
        <v>48.807524911350967</v>
      </c>
      <c r="DX58" s="9">
        <f t="shared" si="98"/>
        <v>48.788668355715174</v>
      </c>
      <c r="DY58" s="9">
        <f t="shared" si="99"/>
        <v>49.470574131508897</v>
      </c>
      <c r="DZ58" s="9">
        <f t="shared" si="100"/>
        <v>50.789908348318527</v>
      </c>
      <c r="EA58" s="9">
        <f t="shared" si="101"/>
        <v>52.679225691039228</v>
      </c>
      <c r="EB58" s="9">
        <f t="shared" si="47"/>
        <v>55.067598933429373</v>
      </c>
      <c r="EC58" s="9">
        <f t="shared" si="48"/>
        <v>57.881192536716924</v>
      </c>
      <c r="ED58" s="9">
        <f t="shared" si="49"/>
        <v>61.043788857431636</v>
      </c>
      <c r="EE58" s="9">
        <f t="shared" si="50"/>
        <v>64.477276307953062</v>
      </c>
      <c r="EF58" s="9">
        <f t="shared" si="51"/>
        <v>68.102108618250625</v>
      </c>
      <c r="EG58" s="9">
        <f t="shared" si="52"/>
        <v>71.837743493341407</v>
      </c>
    </row>
    <row r="59" spans="6:137" x14ac:dyDescent="0.3">
      <c r="F59" s="17"/>
      <c r="G59" s="3">
        <v>300</v>
      </c>
      <c r="H59" s="2">
        <f t="shared" si="102"/>
        <v>280.28451209215393</v>
      </c>
      <c r="I59" s="2">
        <f t="shared" si="103"/>
        <v>260.73576311264435</v>
      </c>
      <c r="J59" s="2">
        <f t="shared" si="104"/>
        <v>241.51747131108539</v>
      </c>
      <c r="K59" s="2">
        <f t="shared" si="53"/>
        <v>222.78741419664439</v>
      </c>
      <c r="L59" s="2">
        <f t="shared" si="54"/>
        <v>204.69470412190589</v>
      </c>
      <c r="M59" s="2">
        <f t="shared" si="55"/>
        <v>187.37734377748524</v>
      </c>
      <c r="N59" s="2">
        <f t="shared" si="56"/>
        <v>170.96013071462005</v>
      </c>
      <c r="O59" s="2">
        <f t="shared" si="57"/>
        <v>155.55296157926739</v>
      </c>
      <c r="P59" s="2">
        <f t="shared" si="58"/>
        <v>141.24956633387424</v>
      </c>
      <c r="Q59" s="2">
        <f t="shared" si="59"/>
        <v>128.12668177591527</v>
      </c>
      <c r="R59" s="2">
        <f t="shared" si="60"/>
        <v>116.2436535336921</v>
      </c>
      <c r="S59" s="2">
        <f t="shared" si="61"/>
        <v>105.6424376996389</v>
      </c>
      <c r="T59" s="2">
        <f t="shared" si="62"/>
        <v>96.347958393682063</v>
      </c>
      <c r="U59" s="2">
        <f t="shared" si="63"/>
        <v>88.368766578936146</v>
      </c>
      <c r="V59" s="2">
        <f t="shared" si="64"/>
        <v>81.697938780615559</v>
      </c>
      <c r="W59" s="2">
        <f t="shared" si="65"/>
        <v>76.314152032704555</v>
      </c>
      <c r="X59" s="2">
        <f t="shared" si="66"/>
        <v>72.182873106760752</v>
      </c>
      <c r="Y59" s="2">
        <f t="shared" si="67"/>
        <v>69.257605287816133</v>
      </c>
      <c r="Z59" s="2">
        <f t="shared" si="68"/>
        <v>67.481143862800991</v>
      </c>
      <c r="AA59" s="2">
        <f t="shared" si="69"/>
        <v>66.786801156572565</v>
      </c>
      <c r="AB59" s="2">
        <f t="shared" si="70"/>
        <v>67.099572430483192</v>
      </c>
      <c r="AC59" s="2">
        <f t="shared" si="71"/>
        <v>68.337224339554254</v>
      </c>
      <c r="AD59" s="2">
        <f t="shared" si="72"/>
        <v>70.411297145055187</v>
      </c>
      <c r="AE59" s="2">
        <f t="shared" si="73"/>
        <v>73.228019904483972</v>
      </c>
      <c r="AF59" s="2">
        <f t="shared" si="74"/>
        <v>76.689144038853115</v>
      </c>
      <c r="AG59" s="2">
        <f t="shared" si="75"/>
        <v>80.692704871583658</v>
      </c>
      <c r="AH59" s="2">
        <f t="shared" si="76"/>
        <v>85.133723031206856</v>
      </c>
      <c r="AI59" s="2">
        <f t="shared" si="77"/>
        <v>89.904858287518977</v>
      </c>
      <c r="AJ59" s="2">
        <f t="shared" si="39"/>
        <v>94.897027861362886</v>
      </c>
      <c r="AK59" s="2">
        <v>100</v>
      </c>
      <c r="AM59" s="17"/>
      <c r="AN59" s="9">
        <f t="shared" si="6"/>
        <v>-2483999999.9999995</v>
      </c>
      <c r="AO59" s="9">
        <f t="shared" si="6"/>
        <v>-2320065460.9597211</v>
      </c>
      <c r="AP59" s="9">
        <f t="shared" si="7"/>
        <v>-2157524025.855979</v>
      </c>
      <c r="AQ59" s="9">
        <f t="shared" si="8"/>
        <v>-1997743370.8511178</v>
      </c>
      <c r="AR59" s="9">
        <f t="shared" si="9"/>
        <v>-1842041172.8038468</v>
      </c>
      <c r="AS59" s="9">
        <f t="shared" si="10"/>
        <v>-1691662202.2458644</v>
      </c>
      <c r="AT59" s="9">
        <f t="shared" si="11"/>
        <v>-1547757796.7319374</v>
      </c>
      <c r="AU59" s="9">
        <f t="shared" si="12"/>
        <v>-1411368300.4571519</v>
      </c>
      <c r="AV59" s="9">
        <f t="shared" si="13"/>
        <v>-1283408897.9719014</v>
      </c>
      <c r="AW59" s="9">
        <f t="shared" si="14"/>
        <v>-1164659094.9985011</v>
      </c>
      <c r="AX59" s="9">
        <f t="shared" si="15"/>
        <v>-1055755919.957432</v>
      </c>
      <c r="AY59" s="9">
        <f t="shared" si="16"/>
        <v>-957190747.88914657</v>
      </c>
      <c r="AZ59" s="9">
        <f t="shared" si="17"/>
        <v>-869309494.92669106</v>
      </c>
      <c r="BA59" s="9">
        <f t="shared" si="18"/>
        <v>-792315805.28607392</v>
      </c>
      <c r="BB59" s="9">
        <f t="shared" si="19"/>
        <v>-726276760.24559021</v>
      </c>
      <c r="BC59" s="9">
        <f t="shared" si="20"/>
        <v>-671130583.15480089</v>
      </c>
      <c r="BD59" s="9">
        <f t="shared" si="21"/>
        <v>-626695796.44784927</v>
      </c>
      <c r="BE59" s="9">
        <f t="shared" si="22"/>
        <v>-592681303.34100235</v>
      </c>
      <c r="BF59" s="9">
        <f t="shared" si="23"/>
        <v>-568696913.31224942</v>
      </c>
      <c r="BG59" s="9">
        <f t="shared" si="24"/>
        <v>-554263899.6882149</v>
      </c>
      <c r="BH59" s="9">
        <f t="shared" si="25"/>
        <v>-548825261.698645</v>
      </c>
      <c r="BI59" s="9">
        <f t="shared" si="26"/>
        <v>-551755453.89483643</v>
      </c>
      <c r="BJ59" s="9">
        <f t="shared" si="27"/>
        <v>-562369435.0202893</v>
      </c>
      <c r="BK59" s="9">
        <f t="shared" si="28"/>
        <v>-579930969.55179548</v>
      </c>
      <c r="BL59" s="9">
        <f t="shared" si="29"/>
        <v>-603660183.11687398</v>
      </c>
      <c r="BM59" s="9">
        <f t="shared" si="30"/>
        <v>-632740424.7104876</v>
      </c>
      <c r="BN59" s="9">
        <f t="shared" si="31"/>
        <v>-666324523.00337696</v>
      </c>
      <c r="BO59" s="9">
        <f t="shared" si="32"/>
        <v>-703540541.91810048</v>
      </c>
      <c r="BP59" s="9">
        <f t="shared" si="33"/>
        <v>-743497144.54607534</v>
      </c>
      <c r="BQ59" s="9">
        <f t="shared" si="34"/>
        <v>-785288668.07384062</v>
      </c>
      <c r="BR59" s="9">
        <f t="shared" si="35"/>
        <v>-827999999.99999988</v>
      </c>
      <c r="BT59" s="17"/>
      <c r="BU59" s="9">
        <v>0</v>
      </c>
      <c r="BV59" s="9">
        <f t="shared" ref="BV59:CY59" si="119">$C$12/($C$13-BU59*$C$14)</f>
        <v>0.25</v>
      </c>
      <c r="BW59" s="9">
        <f t="shared" si="119"/>
        <v>0.26666666666666666</v>
      </c>
      <c r="BX59" s="9">
        <f t="shared" si="119"/>
        <v>0.26785714285714285</v>
      </c>
      <c r="BY59" s="9">
        <f t="shared" si="119"/>
        <v>0.26794258373205743</v>
      </c>
      <c r="BZ59" s="9">
        <f t="shared" si="119"/>
        <v>0.26794871794871794</v>
      </c>
      <c r="CA59" s="9">
        <f t="shared" si="119"/>
        <v>0.26794915836482308</v>
      </c>
      <c r="CB59" s="9">
        <f t="shared" si="119"/>
        <v>0.26794918998527245</v>
      </c>
      <c r="CC59" s="9">
        <f t="shared" si="119"/>
        <v>0.26794919225551855</v>
      </c>
      <c r="CD59" s="9">
        <f t="shared" si="119"/>
        <v>0.26794919241851489</v>
      </c>
      <c r="CE59" s="9">
        <f t="shared" si="119"/>
        <v>0.26794919243021753</v>
      </c>
      <c r="CF59" s="9">
        <f t="shared" si="119"/>
        <v>0.26794919243105775</v>
      </c>
      <c r="CG59" s="9">
        <f t="shared" si="119"/>
        <v>0.26794919243111803</v>
      </c>
      <c r="CH59" s="9">
        <f t="shared" si="119"/>
        <v>0.26794919243112236</v>
      </c>
      <c r="CI59" s="9">
        <f t="shared" si="119"/>
        <v>0.2679491924311227</v>
      </c>
      <c r="CJ59" s="9">
        <f t="shared" si="119"/>
        <v>0.2679491924311227</v>
      </c>
      <c r="CK59" s="9">
        <f t="shared" si="119"/>
        <v>0.2679491924311227</v>
      </c>
      <c r="CL59" s="9">
        <f t="shared" si="119"/>
        <v>0.2679491924311227</v>
      </c>
      <c r="CM59" s="9">
        <f t="shared" si="119"/>
        <v>0.2679491924311227</v>
      </c>
      <c r="CN59" s="9">
        <f t="shared" si="119"/>
        <v>0.2679491924311227</v>
      </c>
      <c r="CO59" s="9">
        <f t="shared" si="119"/>
        <v>0.2679491924311227</v>
      </c>
      <c r="CP59" s="9">
        <f t="shared" si="119"/>
        <v>0.2679491924311227</v>
      </c>
      <c r="CQ59" s="9">
        <f t="shared" si="119"/>
        <v>0.2679491924311227</v>
      </c>
      <c r="CR59" s="9">
        <f t="shared" si="119"/>
        <v>0.2679491924311227</v>
      </c>
      <c r="CS59" s="9">
        <f t="shared" si="119"/>
        <v>0.2679491924311227</v>
      </c>
      <c r="CT59" s="9">
        <f t="shared" si="119"/>
        <v>0.2679491924311227</v>
      </c>
      <c r="CU59" s="9">
        <f t="shared" si="119"/>
        <v>0.2679491924311227</v>
      </c>
      <c r="CV59" s="9">
        <f t="shared" si="119"/>
        <v>0.2679491924311227</v>
      </c>
      <c r="CW59" s="9">
        <f t="shared" si="119"/>
        <v>0.2679491924311227</v>
      </c>
      <c r="CX59" s="9">
        <f t="shared" si="119"/>
        <v>0.2679491924311227</v>
      </c>
      <c r="CY59" s="9">
        <f t="shared" si="119"/>
        <v>0.2679491924311227</v>
      </c>
      <c r="DB59" s="17"/>
      <c r="DC59" s="9">
        <f t="shared" si="37"/>
        <v>300</v>
      </c>
      <c r="DD59" s="9">
        <f t="shared" si="38"/>
        <v>215.10057131399284</v>
      </c>
      <c r="DE59" s="9">
        <f t="shared" si="79"/>
        <v>196.33110409635489</v>
      </c>
      <c r="DF59" s="9">
        <f t="shared" si="80"/>
        <v>181.84227107984134</v>
      </c>
      <c r="DG59" s="9">
        <f t="shared" si="81"/>
        <v>167.94098629795189</v>
      </c>
      <c r="DH59" s="9">
        <f t="shared" si="82"/>
        <v>154.48718508409254</v>
      </c>
      <c r="DI59" s="9">
        <f t="shared" si="83"/>
        <v>141.56872063856264</v>
      </c>
      <c r="DJ59" s="9">
        <f t="shared" si="84"/>
        <v>129.27984065964515</v>
      </c>
      <c r="DK59" s="9">
        <f t="shared" si="85"/>
        <v>117.70525437366351</v>
      </c>
      <c r="DL59" s="9">
        <f t="shared" si="86"/>
        <v>106.9181254247537</v>
      </c>
      <c r="DM59" s="9">
        <f t="shared" si="87"/>
        <v>96.979288686424482</v>
      </c>
      <c r="DN59" s="9">
        <f t="shared" si="88"/>
        <v>87.936847665625521</v>
      </c>
      <c r="DO59" s="9">
        <f t="shared" si="89"/>
        <v>79.826080055664832</v>
      </c>
      <c r="DP59" s="9">
        <f t="shared" si="90"/>
        <v>72.66961875272176</v>
      </c>
      <c r="DQ59" s="9">
        <f t="shared" si="91"/>
        <v>66.477869859382906</v>
      </c>
      <c r="DR59" s="9">
        <f t="shared" si="92"/>
        <v>61.249623372386452</v>
      </c>
      <c r="DS59" s="9">
        <f t="shared" si="93"/>
        <v>56.972809476389806</v>
      </c>
      <c r="DT59" s="9">
        <f t="shared" si="94"/>
        <v>53.625353700176966</v>
      </c>
      <c r="DU59" s="9">
        <f t="shared" si="95"/>
        <v>51.176087285450201</v>
      </c>
      <c r="DV59" s="9">
        <f t="shared" si="96"/>
        <v>49.585674427839393</v>
      </c>
      <c r="DW59" s="9">
        <f t="shared" si="97"/>
        <v>48.807524911350967</v>
      </c>
      <c r="DX59" s="9">
        <f t="shared" si="98"/>
        <v>48.788668355715167</v>
      </c>
      <c r="DY59" s="9">
        <f t="shared" si="99"/>
        <v>49.470574131508897</v>
      </c>
      <c r="DZ59" s="9">
        <f t="shared" si="100"/>
        <v>50.789908348318527</v>
      </c>
      <c r="EA59" s="9">
        <f t="shared" si="101"/>
        <v>52.679225691039228</v>
      </c>
      <c r="EB59" s="9">
        <f t="shared" si="47"/>
        <v>55.067598933429359</v>
      </c>
      <c r="EC59" s="9">
        <f t="shared" si="48"/>
        <v>57.881192536716917</v>
      </c>
      <c r="ED59" s="9">
        <f t="shared" si="49"/>
        <v>61.043788857431622</v>
      </c>
      <c r="EE59" s="9">
        <f t="shared" si="50"/>
        <v>64.477276307953048</v>
      </c>
      <c r="EF59" s="9">
        <f t="shared" si="51"/>
        <v>68.102108618250625</v>
      </c>
      <c r="EG59" s="9">
        <f t="shared" si="52"/>
        <v>71.837743493341407</v>
      </c>
    </row>
    <row r="60" spans="6:137" x14ac:dyDescent="0.3">
      <c r="F60" s="17"/>
      <c r="G60" s="3">
        <v>300</v>
      </c>
      <c r="H60" s="2">
        <f t="shared" si="102"/>
        <v>280.28451209215393</v>
      </c>
      <c r="I60" s="2">
        <f t="shared" si="103"/>
        <v>260.73576311264429</v>
      </c>
      <c r="J60" s="2">
        <f t="shared" si="104"/>
        <v>241.51747131108533</v>
      </c>
      <c r="K60" s="2">
        <f t="shared" si="53"/>
        <v>222.78741419664436</v>
      </c>
      <c r="L60" s="2">
        <f t="shared" si="54"/>
        <v>204.69470412190586</v>
      </c>
      <c r="M60" s="2">
        <f t="shared" si="55"/>
        <v>187.37734377748518</v>
      </c>
      <c r="N60" s="2">
        <f t="shared" si="56"/>
        <v>170.96013071462002</v>
      </c>
      <c r="O60" s="2">
        <f t="shared" si="57"/>
        <v>155.55296157926739</v>
      </c>
      <c r="P60" s="2">
        <f t="shared" si="58"/>
        <v>141.24956633387424</v>
      </c>
      <c r="Q60" s="2">
        <f t="shared" si="59"/>
        <v>128.12668177591527</v>
      </c>
      <c r="R60" s="2">
        <f t="shared" si="60"/>
        <v>116.2436535336921</v>
      </c>
      <c r="S60" s="2">
        <f t="shared" si="61"/>
        <v>105.64243769963889</v>
      </c>
      <c r="T60" s="2">
        <f t="shared" si="62"/>
        <v>96.347958393682021</v>
      </c>
      <c r="U60" s="2">
        <f t="shared" si="63"/>
        <v>88.368766578936132</v>
      </c>
      <c r="V60" s="2">
        <f t="shared" si="64"/>
        <v>81.697938780615544</v>
      </c>
      <c r="W60" s="2">
        <f t="shared" si="65"/>
        <v>76.314152032704555</v>
      </c>
      <c r="X60" s="2">
        <f t="shared" si="66"/>
        <v>72.182873106760752</v>
      </c>
      <c r="Y60" s="2">
        <f t="shared" si="67"/>
        <v>69.257605287816133</v>
      </c>
      <c r="Z60" s="2">
        <f t="shared" si="68"/>
        <v>67.481143862800963</v>
      </c>
      <c r="AA60" s="2">
        <f t="shared" si="69"/>
        <v>66.786801156572565</v>
      </c>
      <c r="AB60" s="2">
        <f t="shared" si="70"/>
        <v>67.099572430483192</v>
      </c>
      <c r="AC60" s="2">
        <f t="shared" si="71"/>
        <v>68.337224339554254</v>
      </c>
      <c r="AD60" s="2">
        <f t="shared" si="72"/>
        <v>70.411297145055187</v>
      </c>
      <c r="AE60" s="2">
        <f t="shared" si="73"/>
        <v>73.228019904483972</v>
      </c>
      <c r="AF60" s="2">
        <f t="shared" si="74"/>
        <v>76.689144038853115</v>
      </c>
      <c r="AG60" s="2">
        <f t="shared" si="75"/>
        <v>80.692704871583658</v>
      </c>
      <c r="AH60" s="2">
        <f t="shared" si="76"/>
        <v>85.133723031206856</v>
      </c>
      <c r="AI60" s="2">
        <f t="shared" si="77"/>
        <v>89.904858287518977</v>
      </c>
      <c r="AJ60" s="2">
        <f t="shared" si="39"/>
        <v>94.897027861362886</v>
      </c>
      <c r="AK60" s="2">
        <v>100</v>
      </c>
      <c r="AM60" s="17"/>
      <c r="AN60" s="9">
        <f t="shared" si="6"/>
        <v>-2483999999.9999995</v>
      </c>
      <c r="AO60" s="9">
        <f t="shared" si="6"/>
        <v>-2320065460.9597206</v>
      </c>
      <c r="AP60" s="9">
        <f t="shared" si="7"/>
        <v>-2157524025.8559785</v>
      </c>
      <c r="AQ60" s="9">
        <f t="shared" si="8"/>
        <v>-1997743370.8511176</v>
      </c>
      <c r="AR60" s="9">
        <f t="shared" si="9"/>
        <v>-1842041172.8038466</v>
      </c>
      <c r="AS60" s="9">
        <f t="shared" si="10"/>
        <v>-1691662202.2458642</v>
      </c>
      <c r="AT60" s="9">
        <f t="shared" si="11"/>
        <v>-1547757796.7319374</v>
      </c>
      <c r="AU60" s="9">
        <f t="shared" si="12"/>
        <v>-1411368300.4571517</v>
      </c>
      <c r="AV60" s="9">
        <f t="shared" si="13"/>
        <v>-1283408897.9719014</v>
      </c>
      <c r="AW60" s="9">
        <f t="shared" si="14"/>
        <v>-1164659094.9985011</v>
      </c>
      <c r="AX60" s="9">
        <f t="shared" si="15"/>
        <v>-1055755919.9574319</v>
      </c>
      <c r="AY60" s="9">
        <f t="shared" si="16"/>
        <v>-957190747.88914657</v>
      </c>
      <c r="AZ60" s="9">
        <f t="shared" si="17"/>
        <v>-869309494.92669106</v>
      </c>
      <c r="BA60" s="9">
        <f t="shared" si="18"/>
        <v>-792315805.2860738</v>
      </c>
      <c r="BB60" s="9">
        <f t="shared" si="19"/>
        <v>-726276760.24559009</v>
      </c>
      <c r="BC60" s="9">
        <f t="shared" si="20"/>
        <v>-671130583.15480089</v>
      </c>
      <c r="BD60" s="9">
        <f t="shared" si="21"/>
        <v>-626695796.44784927</v>
      </c>
      <c r="BE60" s="9">
        <f t="shared" si="22"/>
        <v>-592681303.34100223</v>
      </c>
      <c r="BF60" s="9">
        <f t="shared" si="23"/>
        <v>-568696913.31224942</v>
      </c>
      <c r="BG60" s="9">
        <f t="shared" si="24"/>
        <v>-554263899.68821478</v>
      </c>
      <c r="BH60" s="9">
        <f t="shared" si="25"/>
        <v>-548825261.698645</v>
      </c>
      <c r="BI60" s="9">
        <f t="shared" si="26"/>
        <v>-551755453.89483643</v>
      </c>
      <c r="BJ60" s="9">
        <f t="shared" si="27"/>
        <v>-562369435.0202893</v>
      </c>
      <c r="BK60" s="9">
        <f t="shared" si="28"/>
        <v>-579930969.55179548</v>
      </c>
      <c r="BL60" s="9">
        <f t="shared" si="29"/>
        <v>-603660183.11687398</v>
      </c>
      <c r="BM60" s="9">
        <f t="shared" si="30"/>
        <v>-632740424.7104876</v>
      </c>
      <c r="BN60" s="9">
        <f t="shared" si="31"/>
        <v>-666324523.00337684</v>
      </c>
      <c r="BO60" s="9">
        <f t="shared" si="32"/>
        <v>-703540541.91810048</v>
      </c>
      <c r="BP60" s="9">
        <f t="shared" si="33"/>
        <v>-743497144.54607534</v>
      </c>
      <c r="BQ60" s="9">
        <f t="shared" si="34"/>
        <v>-785288668.07384062</v>
      </c>
      <c r="BR60" s="9">
        <f t="shared" si="35"/>
        <v>-827999999.99999988</v>
      </c>
      <c r="BT60" s="17"/>
      <c r="BU60" s="9">
        <v>0</v>
      </c>
      <c r="BV60" s="9">
        <f t="shared" ref="BV60:CY60" si="120">$C$12/($C$13-BU60*$C$14)</f>
        <v>0.25</v>
      </c>
      <c r="BW60" s="9">
        <f t="shared" si="120"/>
        <v>0.26666666666666666</v>
      </c>
      <c r="BX60" s="9">
        <f t="shared" si="120"/>
        <v>0.26785714285714285</v>
      </c>
      <c r="BY60" s="9">
        <f t="shared" si="120"/>
        <v>0.26794258373205743</v>
      </c>
      <c r="BZ60" s="9">
        <f t="shared" si="120"/>
        <v>0.26794871794871794</v>
      </c>
      <c r="CA60" s="9">
        <f t="shared" si="120"/>
        <v>0.26794915836482308</v>
      </c>
      <c r="CB60" s="9">
        <f t="shared" si="120"/>
        <v>0.26794918998527245</v>
      </c>
      <c r="CC60" s="9">
        <f t="shared" si="120"/>
        <v>0.26794919225551855</v>
      </c>
      <c r="CD60" s="9">
        <f t="shared" si="120"/>
        <v>0.26794919241851489</v>
      </c>
      <c r="CE60" s="9">
        <f t="shared" si="120"/>
        <v>0.26794919243021753</v>
      </c>
      <c r="CF60" s="9">
        <f t="shared" si="120"/>
        <v>0.26794919243105775</v>
      </c>
      <c r="CG60" s="9">
        <f t="shared" si="120"/>
        <v>0.26794919243111803</v>
      </c>
      <c r="CH60" s="9">
        <f t="shared" si="120"/>
        <v>0.26794919243112236</v>
      </c>
      <c r="CI60" s="9">
        <f t="shared" si="120"/>
        <v>0.2679491924311227</v>
      </c>
      <c r="CJ60" s="9">
        <f t="shared" si="120"/>
        <v>0.2679491924311227</v>
      </c>
      <c r="CK60" s="9">
        <f t="shared" si="120"/>
        <v>0.2679491924311227</v>
      </c>
      <c r="CL60" s="9">
        <f t="shared" si="120"/>
        <v>0.2679491924311227</v>
      </c>
      <c r="CM60" s="9">
        <f t="shared" si="120"/>
        <v>0.2679491924311227</v>
      </c>
      <c r="CN60" s="9">
        <f t="shared" si="120"/>
        <v>0.2679491924311227</v>
      </c>
      <c r="CO60" s="9">
        <f t="shared" si="120"/>
        <v>0.2679491924311227</v>
      </c>
      <c r="CP60" s="9">
        <f t="shared" si="120"/>
        <v>0.2679491924311227</v>
      </c>
      <c r="CQ60" s="9">
        <f t="shared" si="120"/>
        <v>0.2679491924311227</v>
      </c>
      <c r="CR60" s="9">
        <f t="shared" si="120"/>
        <v>0.2679491924311227</v>
      </c>
      <c r="CS60" s="9">
        <f t="shared" si="120"/>
        <v>0.2679491924311227</v>
      </c>
      <c r="CT60" s="9">
        <f t="shared" si="120"/>
        <v>0.2679491924311227</v>
      </c>
      <c r="CU60" s="9">
        <f t="shared" si="120"/>
        <v>0.2679491924311227</v>
      </c>
      <c r="CV60" s="9">
        <f t="shared" si="120"/>
        <v>0.2679491924311227</v>
      </c>
      <c r="CW60" s="9">
        <f t="shared" si="120"/>
        <v>0.2679491924311227</v>
      </c>
      <c r="CX60" s="9">
        <f t="shared" si="120"/>
        <v>0.2679491924311227</v>
      </c>
      <c r="CY60" s="9">
        <f t="shared" si="120"/>
        <v>0.2679491924311227</v>
      </c>
      <c r="DB60" s="17"/>
      <c r="DC60" s="9">
        <f t="shared" si="37"/>
        <v>300</v>
      </c>
      <c r="DD60" s="9">
        <f t="shared" si="38"/>
        <v>215.10057131399284</v>
      </c>
      <c r="DE60" s="9">
        <f t="shared" si="79"/>
        <v>196.33110409635486</v>
      </c>
      <c r="DF60" s="9">
        <f t="shared" si="80"/>
        <v>181.84227107984131</v>
      </c>
      <c r="DG60" s="9">
        <f t="shared" si="81"/>
        <v>167.94098629795187</v>
      </c>
      <c r="DH60" s="9">
        <f t="shared" si="82"/>
        <v>154.48718508409252</v>
      </c>
      <c r="DI60" s="9">
        <f t="shared" si="83"/>
        <v>141.56872063856261</v>
      </c>
      <c r="DJ60" s="9">
        <f t="shared" si="84"/>
        <v>129.27984065964512</v>
      </c>
      <c r="DK60" s="9">
        <f t="shared" si="85"/>
        <v>117.70525437366351</v>
      </c>
      <c r="DL60" s="9">
        <f t="shared" si="86"/>
        <v>106.9181254247537</v>
      </c>
      <c r="DM60" s="9">
        <f t="shared" si="87"/>
        <v>96.979288686424468</v>
      </c>
      <c r="DN60" s="9">
        <f t="shared" si="88"/>
        <v>87.936847665625521</v>
      </c>
      <c r="DO60" s="9">
        <f t="shared" si="89"/>
        <v>79.826080055664832</v>
      </c>
      <c r="DP60" s="9">
        <f t="shared" si="90"/>
        <v>72.669618752721732</v>
      </c>
      <c r="DQ60" s="9">
        <f t="shared" si="91"/>
        <v>66.477869859382892</v>
      </c>
      <c r="DR60" s="9">
        <f t="shared" si="92"/>
        <v>61.249623372386445</v>
      </c>
      <c r="DS60" s="9">
        <f t="shared" si="93"/>
        <v>56.972809476389806</v>
      </c>
      <c r="DT60" s="9">
        <f t="shared" si="94"/>
        <v>53.625353700176966</v>
      </c>
      <c r="DU60" s="9">
        <f t="shared" si="95"/>
        <v>51.176087285450201</v>
      </c>
      <c r="DV60" s="9">
        <f t="shared" si="96"/>
        <v>49.585674427839379</v>
      </c>
      <c r="DW60" s="9">
        <f t="shared" si="97"/>
        <v>48.807524911350967</v>
      </c>
      <c r="DX60" s="9">
        <f t="shared" si="98"/>
        <v>48.788668355715167</v>
      </c>
      <c r="DY60" s="9">
        <f t="shared" si="99"/>
        <v>49.470574131508897</v>
      </c>
      <c r="DZ60" s="9">
        <f t="shared" si="100"/>
        <v>50.789908348318527</v>
      </c>
      <c r="EA60" s="9">
        <f t="shared" si="101"/>
        <v>52.679225691039228</v>
      </c>
      <c r="EB60" s="9">
        <f t="shared" si="47"/>
        <v>55.067598933429359</v>
      </c>
      <c r="EC60" s="9">
        <f t="shared" si="48"/>
        <v>57.881192536716902</v>
      </c>
      <c r="ED60" s="9">
        <f t="shared" si="49"/>
        <v>61.043788857431622</v>
      </c>
      <c r="EE60" s="9">
        <f t="shared" si="50"/>
        <v>64.477276307953048</v>
      </c>
      <c r="EF60" s="9">
        <f t="shared" si="51"/>
        <v>68.102108618250625</v>
      </c>
      <c r="EG60" s="9">
        <f t="shared" si="52"/>
        <v>71.837743493341407</v>
      </c>
    </row>
    <row r="61" spans="6:137" x14ac:dyDescent="0.3">
      <c r="F61" s="17"/>
      <c r="G61" s="3">
        <v>300</v>
      </c>
      <c r="H61" s="2">
        <f t="shared" si="102"/>
        <v>280.28451209215393</v>
      </c>
      <c r="I61" s="2">
        <f t="shared" si="103"/>
        <v>260.73576311264429</v>
      </c>
      <c r="J61" s="2">
        <f t="shared" si="104"/>
        <v>241.51747131108533</v>
      </c>
      <c r="K61" s="2">
        <f t="shared" si="53"/>
        <v>222.78741419664436</v>
      </c>
      <c r="L61" s="2">
        <f t="shared" si="54"/>
        <v>204.69470412190586</v>
      </c>
      <c r="M61" s="2">
        <f t="shared" si="55"/>
        <v>187.37734377748518</v>
      </c>
      <c r="N61" s="2">
        <f t="shared" si="56"/>
        <v>170.96013071462005</v>
      </c>
      <c r="O61" s="2">
        <f t="shared" si="57"/>
        <v>155.55296157926745</v>
      </c>
      <c r="P61" s="2">
        <f t="shared" si="58"/>
        <v>141.24956633387427</v>
      </c>
      <c r="Q61" s="2">
        <f t="shared" si="59"/>
        <v>128.1266817759153</v>
      </c>
      <c r="R61" s="2">
        <f t="shared" si="60"/>
        <v>116.24365353369213</v>
      </c>
      <c r="S61" s="2">
        <f t="shared" si="61"/>
        <v>105.64243769963892</v>
      </c>
      <c r="T61" s="2">
        <f t="shared" si="62"/>
        <v>96.347958393682049</v>
      </c>
      <c r="U61" s="2">
        <f t="shared" si="63"/>
        <v>88.368766578936132</v>
      </c>
      <c r="V61" s="2">
        <f t="shared" si="64"/>
        <v>81.697938780615544</v>
      </c>
      <c r="W61" s="2">
        <f t="shared" si="65"/>
        <v>76.314152032704555</v>
      </c>
      <c r="X61" s="2">
        <f t="shared" si="66"/>
        <v>72.182873106760752</v>
      </c>
      <c r="Y61" s="2">
        <f t="shared" si="67"/>
        <v>69.257605287816148</v>
      </c>
      <c r="Z61" s="2">
        <f t="shared" si="68"/>
        <v>67.481143862800991</v>
      </c>
      <c r="AA61" s="2">
        <f t="shared" si="69"/>
        <v>66.786801156572565</v>
      </c>
      <c r="AB61" s="2">
        <f t="shared" si="70"/>
        <v>67.099572430483192</v>
      </c>
      <c r="AC61" s="2">
        <f t="shared" si="71"/>
        <v>68.337224339554254</v>
      </c>
      <c r="AD61" s="2">
        <f t="shared" si="72"/>
        <v>70.411297145055215</v>
      </c>
      <c r="AE61" s="2">
        <f t="shared" si="73"/>
        <v>73.228019904483972</v>
      </c>
      <c r="AF61" s="2">
        <f t="shared" si="74"/>
        <v>76.689144038853129</v>
      </c>
      <c r="AG61" s="2">
        <f t="shared" si="75"/>
        <v>80.692704871583658</v>
      </c>
      <c r="AH61" s="2">
        <f t="shared" si="76"/>
        <v>85.13372303120687</v>
      </c>
      <c r="AI61" s="2">
        <f t="shared" si="77"/>
        <v>89.904858287519005</v>
      </c>
      <c r="AJ61" s="2">
        <f t="shared" si="39"/>
        <v>94.897027861362886</v>
      </c>
      <c r="AK61" s="2">
        <v>100</v>
      </c>
      <c r="AM61" s="17"/>
      <c r="AN61" s="9">
        <f t="shared" si="6"/>
        <v>-2483999999.9999995</v>
      </c>
      <c r="AO61" s="9">
        <f t="shared" si="6"/>
        <v>-2320065460.9597206</v>
      </c>
      <c r="AP61" s="9">
        <f t="shared" si="7"/>
        <v>-2157524025.8559785</v>
      </c>
      <c r="AQ61" s="9">
        <f t="shared" si="8"/>
        <v>-1997743370.8511176</v>
      </c>
      <c r="AR61" s="9">
        <f t="shared" si="9"/>
        <v>-1842041172.8038466</v>
      </c>
      <c r="AS61" s="9">
        <f t="shared" si="10"/>
        <v>-1691662202.2458644</v>
      </c>
      <c r="AT61" s="9">
        <f t="shared" si="11"/>
        <v>-1547757796.7319374</v>
      </c>
      <c r="AU61" s="9">
        <f t="shared" si="12"/>
        <v>-1411368300.4571521</v>
      </c>
      <c r="AV61" s="9">
        <f t="shared" si="13"/>
        <v>-1283408897.9719019</v>
      </c>
      <c r="AW61" s="9">
        <f t="shared" si="14"/>
        <v>-1164659094.9985011</v>
      </c>
      <c r="AX61" s="9">
        <f t="shared" si="15"/>
        <v>-1055755919.9574322</v>
      </c>
      <c r="AY61" s="9">
        <f t="shared" si="16"/>
        <v>-957190747.8891468</v>
      </c>
      <c r="AZ61" s="9">
        <f t="shared" si="17"/>
        <v>-869309494.92669117</v>
      </c>
      <c r="BA61" s="9">
        <f t="shared" si="18"/>
        <v>-792315805.2860738</v>
      </c>
      <c r="BB61" s="9">
        <f t="shared" si="19"/>
        <v>-726276760.24559009</v>
      </c>
      <c r="BC61" s="9">
        <f t="shared" si="20"/>
        <v>-671130583.15480089</v>
      </c>
      <c r="BD61" s="9">
        <f t="shared" si="21"/>
        <v>-626695796.44784927</v>
      </c>
      <c r="BE61" s="9">
        <f t="shared" si="22"/>
        <v>-592681303.34100235</v>
      </c>
      <c r="BF61" s="9">
        <f t="shared" si="23"/>
        <v>-568696913.31224954</v>
      </c>
      <c r="BG61" s="9">
        <f t="shared" si="24"/>
        <v>-554263899.6882149</v>
      </c>
      <c r="BH61" s="9">
        <f t="shared" si="25"/>
        <v>-548825261.698645</v>
      </c>
      <c r="BI61" s="9">
        <f t="shared" si="26"/>
        <v>-551755453.89483654</v>
      </c>
      <c r="BJ61" s="9">
        <f t="shared" si="27"/>
        <v>-562369435.0202893</v>
      </c>
      <c r="BK61" s="9">
        <f t="shared" si="28"/>
        <v>-579930969.55179572</v>
      </c>
      <c r="BL61" s="9">
        <f t="shared" si="29"/>
        <v>-603660183.11687398</v>
      </c>
      <c r="BM61" s="9">
        <f t="shared" si="30"/>
        <v>-632740424.71048772</v>
      </c>
      <c r="BN61" s="9">
        <f t="shared" si="31"/>
        <v>-666324523.00337684</v>
      </c>
      <c r="BO61" s="9">
        <f t="shared" si="32"/>
        <v>-703540541.9181006</v>
      </c>
      <c r="BP61" s="9">
        <f t="shared" si="33"/>
        <v>-743497144.54607558</v>
      </c>
      <c r="BQ61" s="9">
        <f t="shared" si="34"/>
        <v>-785288668.07384062</v>
      </c>
      <c r="BR61" s="9">
        <f t="shared" si="35"/>
        <v>-827999999.99999988</v>
      </c>
      <c r="BT61" s="17"/>
      <c r="BU61" s="9">
        <v>0</v>
      </c>
      <c r="BV61" s="9">
        <f t="shared" ref="BV61:CY61" si="121">$C$12/($C$13-BU61*$C$14)</f>
        <v>0.25</v>
      </c>
      <c r="BW61" s="9">
        <f t="shared" si="121"/>
        <v>0.26666666666666666</v>
      </c>
      <c r="BX61" s="9">
        <f t="shared" si="121"/>
        <v>0.26785714285714285</v>
      </c>
      <c r="BY61" s="9">
        <f t="shared" si="121"/>
        <v>0.26794258373205743</v>
      </c>
      <c r="BZ61" s="9">
        <f t="shared" si="121"/>
        <v>0.26794871794871794</v>
      </c>
      <c r="CA61" s="9">
        <f t="shared" si="121"/>
        <v>0.26794915836482308</v>
      </c>
      <c r="CB61" s="9">
        <f t="shared" si="121"/>
        <v>0.26794918998527245</v>
      </c>
      <c r="CC61" s="9">
        <f t="shared" si="121"/>
        <v>0.26794919225551855</v>
      </c>
      <c r="CD61" s="9">
        <f t="shared" si="121"/>
        <v>0.26794919241851489</v>
      </c>
      <c r="CE61" s="9">
        <f t="shared" si="121"/>
        <v>0.26794919243021753</v>
      </c>
      <c r="CF61" s="9">
        <f t="shared" si="121"/>
        <v>0.26794919243105775</v>
      </c>
      <c r="CG61" s="9">
        <f t="shared" si="121"/>
        <v>0.26794919243111803</v>
      </c>
      <c r="CH61" s="9">
        <f t="shared" si="121"/>
        <v>0.26794919243112236</v>
      </c>
      <c r="CI61" s="9">
        <f t="shared" si="121"/>
        <v>0.2679491924311227</v>
      </c>
      <c r="CJ61" s="9">
        <f t="shared" si="121"/>
        <v>0.2679491924311227</v>
      </c>
      <c r="CK61" s="9">
        <f t="shared" si="121"/>
        <v>0.2679491924311227</v>
      </c>
      <c r="CL61" s="9">
        <f t="shared" si="121"/>
        <v>0.2679491924311227</v>
      </c>
      <c r="CM61" s="9">
        <f t="shared" si="121"/>
        <v>0.2679491924311227</v>
      </c>
      <c r="CN61" s="9">
        <f t="shared" si="121"/>
        <v>0.2679491924311227</v>
      </c>
      <c r="CO61" s="9">
        <f t="shared" si="121"/>
        <v>0.2679491924311227</v>
      </c>
      <c r="CP61" s="9">
        <f t="shared" si="121"/>
        <v>0.2679491924311227</v>
      </c>
      <c r="CQ61" s="9">
        <f t="shared" si="121"/>
        <v>0.2679491924311227</v>
      </c>
      <c r="CR61" s="9">
        <f t="shared" si="121"/>
        <v>0.2679491924311227</v>
      </c>
      <c r="CS61" s="9">
        <f t="shared" si="121"/>
        <v>0.2679491924311227</v>
      </c>
      <c r="CT61" s="9">
        <f t="shared" si="121"/>
        <v>0.2679491924311227</v>
      </c>
      <c r="CU61" s="9">
        <f t="shared" si="121"/>
        <v>0.2679491924311227</v>
      </c>
      <c r="CV61" s="9">
        <f t="shared" si="121"/>
        <v>0.2679491924311227</v>
      </c>
      <c r="CW61" s="9">
        <f t="shared" si="121"/>
        <v>0.2679491924311227</v>
      </c>
      <c r="CX61" s="9">
        <f t="shared" si="121"/>
        <v>0.2679491924311227</v>
      </c>
      <c r="CY61" s="9">
        <f t="shared" si="121"/>
        <v>0.2679491924311227</v>
      </c>
      <c r="DB61" s="17"/>
      <c r="DC61" s="9">
        <f t="shared" si="37"/>
        <v>300</v>
      </c>
      <c r="DD61" s="9">
        <f t="shared" si="38"/>
        <v>215.10057131399284</v>
      </c>
      <c r="DE61" s="9">
        <f t="shared" si="79"/>
        <v>196.33110409635486</v>
      </c>
      <c r="DF61" s="9">
        <f t="shared" si="80"/>
        <v>181.84227107984131</v>
      </c>
      <c r="DG61" s="9">
        <f t="shared" si="81"/>
        <v>167.94098629795187</v>
      </c>
      <c r="DH61" s="9">
        <f t="shared" si="82"/>
        <v>154.48718508409252</v>
      </c>
      <c r="DI61" s="9">
        <f t="shared" si="83"/>
        <v>141.56872063856261</v>
      </c>
      <c r="DJ61" s="9">
        <f t="shared" si="84"/>
        <v>129.27984065964515</v>
      </c>
      <c r="DK61" s="9">
        <f t="shared" si="85"/>
        <v>117.70525437366354</v>
      </c>
      <c r="DL61" s="9">
        <f t="shared" si="86"/>
        <v>106.91812542475371</v>
      </c>
      <c r="DM61" s="9">
        <f t="shared" si="87"/>
        <v>96.979288686424482</v>
      </c>
      <c r="DN61" s="9">
        <f t="shared" si="88"/>
        <v>87.93684766562555</v>
      </c>
      <c r="DO61" s="9">
        <f t="shared" si="89"/>
        <v>79.826080055664846</v>
      </c>
      <c r="DP61" s="9">
        <f t="shared" si="90"/>
        <v>72.66961875272176</v>
      </c>
      <c r="DQ61" s="9">
        <f t="shared" si="91"/>
        <v>66.477869859382892</v>
      </c>
      <c r="DR61" s="9">
        <f t="shared" si="92"/>
        <v>61.249623372386445</v>
      </c>
      <c r="DS61" s="9">
        <f t="shared" si="93"/>
        <v>56.972809476389806</v>
      </c>
      <c r="DT61" s="9">
        <f t="shared" si="94"/>
        <v>53.625353700176966</v>
      </c>
      <c r="DU61" s="9">
        <f t="shared" si="95"/>
        <v>51.176087285450208</v>
      </c>
      <c r="DV61" s="9">
        <f t="shared" si="96"/>
        <v>49.585674427839393</v>
      </c>
      <c r="DW61" s="9">
        <f t="shared" si="97"/>
        <v>48.807524911350967</v>
      </c>
      <c r="DX61" s="9">
        <f t="shared" si="98"/>
        <v>48.788668355715174</v>
      </c>
      <c r="DY61" s="9">
        <f t="shared" si="99"/>
        <v>49.470574131508897</v>
      </c>
      <c r="DZ61" s="9">
        <f t="shared" si="100"/>
        <v>50.789908348318548</v>
      </c>
      <c r="EA61" s="9">
        <f t="shared" si="101"/>
        <v>52.679225691039235</v>
      </c>
      <c r="EB61" s="9">
        <f t="shared" si="47"/>
        <v>55.067598933429373</v>
      </c>
      <c r="EC61" s="9">
        <f t="shared" si="48"/>
        <v>57.88119253671691</v>
      </c>
      <c r="ED61" s="9">
        <f t="shared" si="49"/>
        <v>61.043788857431629</v>
      </c>
      <c r="EE61" s="9">
        <f t="shared" si="50"/>
        <v>64.477276307953062</v>
      </c>
      <c r="EF61" s="9">
        <f t="shared" si="51"/>
        <v>68.102108618250625</v>
      </c>
      <c r="EG61" s="9">
        <f t="shared" si="52"/>
        <v>71.837743493341407</v>
      </c>
    </row>
    <row r="62" spans="6:137" x14ac:dyDescent="0.3">
      <c r="F62" s="17"/>
      <c r="G62" s="3">
        <v>300</v>
      </c>
      <c r="H62" s="2">
        <f t="shared" si="102"/>
        <v>280.28451209215393</v>
      </c>
      <c r="I62" s="2">
        <f t="shared" si="103"/>
        <v>260.73576311264429</v>
      </c>
      <c r="J62" s="2">
        <f t="shared" si="104"/>
        <v>241.51747131108533</v>
      </c>
      <c r="K62" s="2">
        <f t="shared" si="53"/>
        <v>222.78741419664439</v>
      </c>
      <c r="L62" s="2">
        <f t="shared" si="54"/>
        <v>204.69470412190589</v>
      </c>
      <c r="M62" s="2">
        <f t="shared" si="55"/>
        <v>187.37734377748524</v>
      </c>
      <c r="N62" s="2">
        <f t="shared" si="56"/>
        <v>170.96013071462016</v>
      </c>
      <c r="O62" s="2">
        <f t="shared" si="57"/>
        <v>155.5529615792675</v>
      </c>
      <c r="P62" s="2">
        <f t="shared" si="58"/>
        <v>141.24956633387433</v>
      </c>
      <c r="Q62" s="2">
        <f t="shared" si="59"/>
        <v>128.1266817759153</v>
      </c>
      <c r="R62" s="2">
        <f t="shared" si="60"/>
        <v>116.24365353369213</v>
      </c>
      <c r="S62" s="2">
        <f t="shared" si="61"/>
        <v>105.64243769963892</v>
      </c>
      <c r="T62" s="2">
        <f t="shared" si="62"/>
        <v>96.347958393682063</v>
      </c>
      <c r="U62" s="2">
        <f t="shared" si="63"/>
        <v>88.368766578936146</v>
      </c>
      <c r="V62" s="2">
        <f t="shared" si="64"/>
        <v>81.697938780615573</v>
      </c>
      <c r="W62" s="2">
        <f t="shared" si="65"/>
        <v>76.31415203270457</v>
      </c>
      <c r="X62" s="2">
        <f t="shared" si="66"/>
        <v>72.182873106760766</v>
      </c>
      <c r="Y62" s="2">
        <f t="shared" si="67"/>
        <v>69.257605287816148</v>
      </c>
      <c r="Z62" s="2">
        <f t="shared" si="68"/>
        <v>67.481143862800991</v>
      </c>
      <c r="AA62" s="2">
        <f t="shared" si="69"/>
        <v>66.786801156572565</v>
      </c>
      <c r="AB62" s="2">
        <f t="shared" si="70"/>
        <v>67.099572430483192</v>
      </c>
      <c r="AC62" s="2">
        <f t="shared" si="71"/>
        <v>68.337224339554254</v>
      </c>
      <c r="AD62" s="2">
        <f t="shared" si="72"/>
        <v>70.411297145055215</v>
      </c>
      <c r="AE62" s="2">
        <f t="shared" si="73"/>
        <v>73.228019904484015</v>
      </c>
      <c r="AF62" s="2">
        <f t="shared" si="74"/>
        <v>76.689144038853186</v>
      </c>
      <c r="AG62" s="2">
        <f t="shared" si="75"/>
        <v>80.692704871583686</v>
      </c>
      <c r="AH62" s="2">
        <f t="shared" si="76"/>
        <v>85.133723031206898</v>
      </c>
      <c r="AI62" s="2">
        <f t="shared" si="77"/>
        <v>89.904858287519005</v>
      </c>
      <c r="AJ62" s="2">
        <f t="shared" si="39"/>
        <v>94.897027861362886</v>
      </c>
      <c r="AK62" s="2">
        <v>100</v>
      </c>
      <c r="AM62" s="17"/>
      <c r="AN62" s="9">
        <f t="shared" si="6"/>
        <v>-2483999999.9999995</v>
      </c>
      <c r="AO62" s="9">
        <f t="shared" si="6"/>
        <v>-2320065460.9597206</v>
      </c>
      <c r="AP62" s="9">
        <f t="shared" si="7"/>
        <v>-2157524025.8559785</v>
      </c>
      <c r="AQ62" s="9">
        <f t="shared" si="8"/>
        <v>-1997743370.8511178</v>
      </c>
      <c r="AR62" s="9">
        <f t="shared" si="9"/>
        <v>-1842041172.8038471</v>
      </c>
      <c r="AS62" s="9">
        <f t="shared" si="10"/>
        <v>-1691662202.2458649</v>
      </c>
      <c r="AT62" s="9">
        <f t="shared" si="11"/>
        <v>-1547757796.7319376</v>
      </c>
      <c r="AU62" s="9">
        <f t="shared" si="12"/>
        <v>-1411368300.4571528</v>
      </c>
      <c r="AV62" s="9">
        <f t="shared" si="13"/>
        <v>-1283408897.9719021</v>
      </c>
      <c r="AW62" s="9">
        <f t="shared" si="14"/>
        <v>-1164659094.9985015</v>
      </c>
      <c r="AX62" s="9">
        <f t="shared" si="15"/>
        <v>-1055755919.9574322</v>
      </c>
      <c r="AY62" s="9">
        <f t="shared" si="16"/>
        <v>-957190747.8891468</v>
      </c>
      <c r="AZ62" s="9">
        <f t="shared" si="17"/>
        <v>-869309494.92669117</v>
      </c>
      <c r="BA62" s="9">
        <f t="shared" si="18"/>
        <v>-792315805.2860738</v>
      </c>
      <c r="BB62" s="9">
        <f t="shared" si="19"/>
        <v>-726276760.24559021</v>
      </c>
      <c r="BC62" s="9">
        <f t="shared" si="20"/>
        <v>-671130583.15480113</v>
      </c>
      <c r="BD62" s="9">
        <f t="shared" si="21"/>
        <v>-626695796.44784939</v>
      </c>
      <c r="BE62" s="9">
        <f t="shared" si="22"/>
        <v>-592681303.34100246</v>
      </c>
      <c r="BF62" s="9">
        <f t="shared" si="23"/>
        <v>-568696913.31224954</v>
      </c>
      <c r="BG62" s="9">
        <f t="shared" si="24"/>
        <v>-554263899.68821502</v>
      </c>
      <c r="BH62" s="9">
        <f t="shared" si="25"/>
        <v>-548825261.69864511</v>
      </c>
      <c r="BI62" s="9">
        <f t="shared" si="26"/>
        <v>-551755453.89483654</v>
      </c>
      <c r="BJ62" s="9">
        <f t="shared" si="27"/>
        <v>-562369435.0202893</v>
      </c>
      <c r="BK62" s="9">
        <f t="shared" si="28"/>
        <v>-579930969.55179584</v>
      </c>
      <c r="BL62" s="9">
        <f t="shared" si="29"/>
        <v>-603660183.11687434</v>
      </c>
      <c r="BM62" s="9">
        <f t="shared" si="30"/>
        <v>-632740424.71048808</v>
      </c>
      <c r="BN62" s="9">
        <f t="shared" si="31"/>
        <v>-666324523.00337708</v>
      </c>
      <c r="BO62" s="9">
        <f t="shared" si="32"/>
        <v>-703540541.91810083</v>
      </c>
      <c r="BP62" s="9">
        <f t="shared" si="33"/>
        <v>-743497144.5460757</v>
      </c>
      <c r="BQ62" s="9">
        <f t="shared" si="34"/>
        <v>-785288668.07384062</v>
      </c>
      <c r="BR62" s="9">
        <f t="shared" si="35"/>
        <v>-827999999.99999988</v>
      </c>
      <c r="BT62" s="17"/>
      <c r="BU62" s="9">
        <v>0</v>
      </c>
      <c r="BV62" s="9">
        <f t="shared" ref="BV62:CY62" si="122">$C$12/($C$13-BU62*$C$14)</f>
        <v>0.25</v>
      </c>
      <c r="BW62" s="9">
        <f t="shared" si="122"/>
        <v>0.26666666666666666</v>
      </c>
      <c r="BX62" s="9">
        <f t="shared" si="122"/>
        <v>0.26785714285714285</v>
      </c>
      <c r="BY62" s="9">
        <f t="shared" si="122"/>
        <v>0.26794258373205743</v>
      </c>
      <c r="BZ62" s="9">
        <f t="shared" si="122"/>
        <v>0.26794871794871794</v>
      </c>
      <c r="CA62" s="9">
        <f t="shared" si="122"/>
        <v>0.26794915836482308</v>
      </c>
      <c r="CB62" s="9">
        <f t="shared" si="122"/>
        <v>0.26794918998527245</v>
      </c>
      <c r="CC62" s="9">
        <f t="shared" si="122"/>
        <v>0.26794919225551855</v>
      </c>
      <c r="CD62" s="9">
        <f t="shared" si="122"/>
        <v>0.26794919241851489</v>
      </c>
      <c r="CE62" s="9">
        <f t="shared" si="122"/>
        <v>0.26794919243021753</v>
      </c>
      <c r="CF62" s="9">
        <f t="shared" si="122"/>
        <v>0.26794919243105775</v>
      </c>
      <c r="CG62" s="9">
        <f t="shared" si="122"/>
        <v>0.26794919243111803</v>
      </c>
      <c r="CH62" s="9">
        <f t="shared" si="122"/>
        <v>0.26794919243112236</v>
      </c>
      <c r="CI62" s="9">
        <f t="shared" si="122"/>
        <v>0.2679491924311227</v>
      </c>
      <c r="CJ62" s="9">
        <f t="shared" si="122"/>
        <v>0.2679491924311227</v>
      </c>
      <c r="CK62" s="9">
        <f t="shared" si="122"/>
        <v>0.2679491924311227</v>
      </c>
      <c r="CL62" s="9">
        <f t="shared" si="122"/>
        <v>0.2679491924311227</v>
      </c>
      <c r="CM62" s="9">
        <f t="shared" si="122"/>
        <v>0.2679491924311227</v>
      </c>
      <c r="CN62" s="9">
        <f t="shared" si="122"/>
        <v>0.2679491924311227</v>
      </c>
      <c r="CO62" s="9">
        <f t="shared" si="122"/>
        <v>0.2679491924311227</v>
      </c>
      <c r="CP62" s="9">
        <f t="shared" si="122"/>
        <v>0.2679491924311227</v>
      </c>
      <c r="CQ62" s="9">
        <f t="shared" si="122"/>
        <v>0.2679491924311227</v>
      </c>
      <c r="CR62" s="9">
        <f t="shared" si="122"/>
        <v>0.2679491924311227</v>
      </c>
      <c r="CS62" s="9">
        <f t="shared" si="122"/>
        <v>0.2679491924311227</v>
      </c>
      <c r="CT62" s="9">
        <f t="shared" si="122"/>
        <v>0.2679491924311227</v>
      </c>
      <c r="CU62" s="9">
        <f t="shared" si="122"/>
        <v>0.2679491924311227</v>
      </c>
      <c r="CV62" s="9">
        <f t="shared" si="122"/>
        <v>0.2679491924311227</v>
      </c>
      <c r="CW62" s="9">
        <f t="shared" si="122"/>
        <v>0.2679491924311227</v>
      </c>
      <c r="CX62" s="9">
        <f t="shared" si="122"/>
        <v>0.2679491924311227</v>
      </c>
      <c r="CY62" s="9">
        <f t="shared" si="122"/>
        <v>0.2679491924311227</v>
      </c>
      <c r="DB62" s="17"/>
      <c r="DC62" s="9">
        <f t="shared" si="37"/>
        <v>300</v>
      </c>
      <c r="DD62" s="9">
        <f t="shared" si="38"/>
        <v>215.10057131399284</v>
      </c>
      <c r="DE62" s="9">
        <f t="shared" si="79"/>
        <v>196.33110409635486</v>
      </c>
      <c r="DF62" s="9">
        <f t="shared" si="80"/>
        <v>181.84227107984131</v>
      </c>
      <c r="DG62" s="9">
        <f t="shared" si="81"/>
        <v>167.94098629795189</v>
      </c>
      <c r="DH62" s="9">
        <f t="shared" si="82"/>
        <v>154.48718508409254</v>
      </c>
      <c r="DI62" s="9">
        <f t="shared" si="83"/>
        <v>141.56872063856264</v>
      </c>
      <c r="DJ62" s="9">
        <f t="shared" si="84"/>
        <v>129.27984065964523</v>
      </c>
      <c r="DK62" s="9">
        <f t="shared" si="85"/>
        <v>117.70525437366359</v>
      </c>
      <c r="DL62" s="9">
        <f t="shared" si="86"/>
        <v>106.91812542475377</v>
      </c>
      <c r="DM62" s="9">
        <f t="shared" si="87"/>
        <v>96.979288686424496</v>
      </c>
      <c r="DN62" s="9">
        <f t="shared" si="88"/>
        <v>87.93684766562555</v>
      </c>
      <c r="DO62" s="9">
        <f t="shared" si="89"/>
        <v>79.826080055664846</v>
      </c>
      <c r="DP62" s="9">
        <f t="shared" si="90"/>
        <v>72.66961875272176</v>
      </c>
      <c r="DQ62" s="9">
        <f t="shared" si="91"/>
        <v>66.477869859382906</v>
      </c>
      <c r="DR62" s="9">
        <f t="shared" si="92"/>
        <v>61.249623372386466</v>
      </c>
      <c r="DS62" s="9">
        <f t="shared" si="93"/>
        <v>56.972809476389813</v>
      </c>
      <c r="DT62" s="9">
        <f t="shared" si="94"/>
        <v>53.62535370017698</v>
      </c>
      <c r="DU62" s="9">
        <f t="shared" si="95"/>
        <v>51.176087285450208</v>
      </c>
      <c r="DV62" s="9">
        <f t="shared" si="96"/>
        <v>49.5856744278394</v>
      </c>
      <c r="DW62" s="9">
        <f t="shared" si="97"/>
        <v>48.807524911350974</v>
      </c>
      <c r="DX62" s="9">
        <f t="shared" si="98"/>
        <v>48.788668355715174</v>
      </c>
      <c r="DY62" s="9">
        <f t="shared" si="99"/>
        <v>49.470574131508897</v>
      </c>
      <c r="DZ62" s="9">
        <f t="shared" si="100"/>
        <v>50.789908348318548</v>
      </c>
      <c r="EA62" s="9">
        <f t="shared" si="101"/>
        <v>52.679225691039257</v>
      </c>
      <c r="EB62" s="9">
        <f t="shared" si="47"/>
        <v>55.067598933429409</v>
      </c>
      <c r="EC62" s="9">
        <f t="shared" si="48"/>
        <v>57.881192536716931</v>
      </c>
      <c r="ED62" s="9">
        <f t="shared" si="49"/>
        <v>61.04378885743165</v>
      </c>
      <c r="EE62" s="9">
        <f t="shared" si="50"/>
        <v>64.477276307953076</v>
      </c>
      <c r="EF62" s="9">
        <f t="shared" si="51"/>
        <v>68.102108618250625</v>
      </c>
      <c r="EG62" s="9">
        <f t="shared" si="52"/>
        <v>71.837743493341407</v>
      </c>
    </row>
    <row r="63" spans="6:137" x14ac:dyDescent="0.3">
      <c r="F63" s="17"/>
      <c r="G63" s="3">
        <v>300</v>
      </c>
      <c r="H63" s="2">
        <f t="shared" si="102"/>
        <v>280.28451209215399</v>
      </c>
      <c r="I63" s="2">
        <f t="shared" si="103"/>
        <v>260.73576311264435</v>
      </c>
      <c r="J63" s="2">
        <f t="shared" si="104"/>
        <v>241.51747131108539</v>
      </c>
      <c r="K63" s="2">
        <f t="shared" si="53"/>
        <v>222.78741419664442</v>
      </c>
      <c r="L63" s="2">
        <f t="shared" si="54"/>
        <v>204.69470412190591</v>
      </c>
      <c r="M63" s="2">
        <f t="shared" si="55"/>
        <v>187.37734377748524</v>
      </c>
      <c r="N63" s="2">
        <f t="shared" si="56"/>
        <v>170.96013071462016</v>
      </c>
      <c r="O63" s="2">
        <f t="shared" si="57"/>
        <v>155.55296157926756</v>
      </c>
      <c r="P63" s="2">
        <f t="shared" si="58"/>
        <v>141.24956633387436</v>
      </c>
      <c r="Q63" s="2">
        <f t="shared" si="59"/>
        <v>128.12668177591533</v>
      </c>
      <c r="R63" s="2">
        <f t="shared" si="60"/>
        <v>116.24365353369214</v>
      </c>
      <c r="S63" s="2">
        <f t="shared" si="61"/>
        <v>105.64243769963893</v>
      </c>
      <c r="T63" s="2">
        <f t="shared" si="62"/>
        <v>96.347958393682077</v>
      </c>
      <c r="U63" s="2">
        <f t="shared" si="63"/>
        <v>88.368766578936174</v>
      </c>
      <c r="V63" s="2">
        <f t="shared" si="64"/>
        <v>81.697938780615601</v>
      </c>
      <c r="W63" s="2">
        <f t="shared" si="65"/>
        <v>76.314152032704584</v>
      </c>
      <c r="X63" s="2">
        <f t="shared" si="66"/>
        <v>72.182873106760781</v>
      </c>
      <c r="Y63" s="2">
        <f t="shared" si="67"/>
        <v>69.257605287816162</v>
      </c>
      <c r="Z63" s="2">
        <f t="shared" si="68"/>
        <v>67.481143862800991</v>
      </c>
      <c r="AA63" s="2">
        <f t="shared" si="69"/>
        <v>66.786801156572579</v>
      </c>
      <c r="AB63" s="2">
        <f t="shared" si="70"/>
        <v>67.099572430483207</v>
      </c>
      <c r="AC63" s="2">
        <f t="shared" si="71"/>
        <v>68.337224339554268</v>
      </c>
      <c r="AD63" s="2">
        <f t="shared" si="72"/>
        <v>70.411297145055229</v>
      </c>
      <c r="AE63" s="2">
        <f t="shared" si="73"/>
        <v>73.228019904484015</v>
      </c>
      <c r="AF63" s="2">
        <f t="shared" si="74"/>
        <v>76.689144038853186</v>
      </c>
      <c r="AG63" s="2">
        <f t="shared" si="75"/>
        <v>80.692704871583715</v>
      </c>
      <c r="AH63" s="2">
        <f t="shared" si="76"/>
        <v>85.133723031206898</v>
      </c>
      <c r="AI63" s="2">
        <f t="shared" si="77"/>
        <v>89.904858287519005</v>
      </c>
      <c r="AJ63" s="2">
        <f t="shared" si="39"/>
        <v>94.897027861362886</v>
      </c>
      <c r="AK63" s="2">
        <v>100</v>
      </c>
      <c r="AM63" s="17"/>
      <c r="AN63" s="9">
        <f t="shared" si="6"/>
        <v>-2483999999.9999995</v>
      </c>
      <c r="AO63" s="9">
        <f t="shared" si="6"/>
        <v>-2320065460.9597216</v>
      </c>
      <c r="AP63" s="9">
        <f t="shared" si="7"/>
        <v>-2157524025.855979</v>
      </c>
      <c r="AQ63" s="9">
        <f t="shared" si="8"/>
        <v>-1997743370.8511178</v>
      </c>
      <c r="AR63" s="9">
        <f t="shared" si="9"/>
        <v>-1842041172.8038473</v>
      </c>
      <c r="AS63" s="9">
        <f t="shared" si="10"/>
        <v>-1691662202.2458651</v>
      </c>
      <c r="AT63" s="9">
        <f t="shared" si="11"/>
        <v>-1547757796.7319376</v>
      </c>
      <c r="AU63" s="9">
        <f t="shared" si="12"/>
        <v>-1411368300.4571531</v>
      </c>
      <c r="AV63" s="9">
        <f t="shared" si="13"/>
        <v>-1283408897.9719028</v>
      </c>
      <c r="AW63" s="9">
        <f t="shared" si="14"/>
        <v>-1164659094.9985018</v>
      </c>
      <c r="AX63" s="9">
        <f t="shared" si="15"/>
        <v>-1055755919.9574324</v>
      </c>
      <c r="AY63" s="9">
        <f t="shared" si="16"/>
        <v>-957190747.8891468</v>
      </c>
      <c r="AZ63" s="9">
        <f t="shared" si="17"/>
        <v>-869309494.92669141</v>
      </c>
      <c r="BA63" s="9">
        <f t="shared" si="18"/>
        <v>-792315805.28607416</v>
      </c>
      <c r="BB63" s="9">
        <f t="shared" si="19"/>
        <v>-726276760.24559045</v>
      </c>
      <c r="BC63" s="9">
        <f t="shared" si="20"/>
        <v>-671130583.15480149</v>
      </c>
      <c r="BD63" s="9">
        <f t="shared" si="21"/>
        <v>-626695796.44784951</v>
      </c>
      <c r="BE63" s="9">
        <f t="shared" si="22"/>
        <v>-592681303.34100258</v>
      </c>
      <c r="BF63" s="9">
        <f t="shared" si="23"/>
        <v>-568696913.31224978</v>
      </c>
      <c r="BG63" s="9">
        <f t="shared" si="24"/>
        <v>-554263899.68821502</v>
      </c>
      <c r="BH63" s="9">
        <f t="shared" si="25"/>
        <v>-548825261.69864511</v>
      </c>
      <c r="BI63" s="9">
        <f t="shared" si="26"/>
        <v>-551755453.89483666</v>
      </c>
      <c r="BJ63" s="9">
        <f t="shared" si="27"/>
        <v>-562369435.02028942</v>
      </c>
      <c r="BK63" s="9">
        <f t="shared" si="28"/>
        <v>-579930969.55179584</v>
      </c>
      <c r="BL63" s="9">
        <f t="shared" si="29"/>
        <v>-603660183.11687434</v>
      </c>
      <c r="BM63" s="9">
        <f t="shared" si="30"/>
        <v>-632740424.71048808</v>
      </c>
      <c r="BN63" s="9">
        <f t="shared" si="31"/>
        <v>-666324523.00337744</v>
      </c>
      <c r="BO63" s="9">
        <f t="shared" si="32"/>
        <v>-703540541.91810083</v>
      </c>
      <c r="BP63" s="9">
        <f t="shared" si="33"/>
        <v>-743497144.5460757</v>
      </c>
      <c r="BQ63" s="9">
        <f t="shared" si="34"/>
        <v>-785288668.07384062</v>
      </c>
      <c r="BR63" s="9">
        <f t="shared" si="35"/>
        <v>-827999999.99999988</v>
      </c>
      <c r="BT63" s="17"/>
      <c r="BU63" s="9">
        <v>0</v>
      </c>
      <c r="BV63" s="9">
        <f t="shared" ref="BV63:CY63" si="123">$C$12/($C$13-BU63*$C$14)</f>
        <v>0.25</v>
      </c>
      <c r="BW63" s="9">
        <f t="shared" si="123"/>
        <v>0.26666666666666666</v>
      </c>
      <c r="BX63" s="9">
        <f t="shared" si="123"/>
        <v>0.26785714285714285</v>
      </c>
      <c r="BY63" s="9">
        <f t="shared" si="123"/>
        <v>0.26794258373205743</v>
      </c>
      <c r="BZ63" s="9">
        <f t="shared" si="123"/>
        <v>0.26794871794871794</v>
      </c>
      <c r="CA63" s="9">
        <f t="shared" si="123"/>
        <v>0.26794915836482308</v>
      </c>
      <c r="CB63" s="9">
        <f t="shared" si="123"/>
        <v>0.26794918998527245</v>
      </c>
      <c r="CC63" s="9">
        <f t="shared" si="123"/>
        <v>0.26794919225551855</v>
      </c>
      <c r="CD63" s="9">
        <f t="shared" si="123"/>
        <v>0.26794919241851489</v>
      </c>
      <c r="CE63" s="9">
        <f t="shared" si="123"/>
        <v>0.26794919243021753</v>
      </c>
      <c r="CF63" s="9">
        <f t="shared" si="123"/>
        <v>0.26794919243105775</v>
      </c>
      <c r="CG63" s="9">
        <f t="shared" si="123"/>
        <v>0.26794919243111803</v>
      </c>
      <c r="CH63" s="9">
        <f t="shared" si="123"/>
        <v>0.26794919243112236</v>
      </c>
      <c r="CI63" s="9">
        <f t="shared" si="123"/>
        <v>0.2679491924311227</v>
      </c>
      <c r="CJ63" s="9">
        <f t="shared" si="123"/>
        <v>0.2679491924311227</v>
      </c>
      <c r="CK63" s="9">
        <f t="shared" si="123"/>
        <v>0.2679491924311227</v>
      </c>
      <c r="CL63" s="9">
        <f t="shared" si="123"/>
        <v>0.2679491924311227</v>
      </c>
      <c r="CM63" s="9">
        <f t="shared" si="123"/>
        <v>0.2679491924311227</v>
      </c>
      <c r="CN63" s="9">
        <f t="shared" si="123"/>
        <v>0.2679491924311227</v>
      </c>
      <c r="CO63" s="9">
        <f t="shared" si="123"/>
        <v>0.2679491924311227</v>
      </c>
      <c r="CP63" s="9">
        <f t="shared" si="123"/>
        <v>0.2679491924311227</v>
      </c>
      <c r="CQ63" s="9">
        <f t="shared" si="123"/>
        <v>0.2679491924311227</v>
      </c>
      <c r="CR63" s="9">
        <f t="shared" si="123"/>
        <v>0.2679491924311227</v>
      </c>
      <c r="CS63" s="9">
        <f t="shared" si="123"/>
        <v>0.2679491924311227</v>
      </c>
      <c r="CT63" s="9">
        <f t="shared" si="123"/>
        <v>0.2679491924311227</v>
      </c>
      <c r="CU63" s="9">
        <f t="shared" si="123"/>
        <v>0.2679491924311227</v>
      </c>
      <c r="CV63" s="9">
        <f t="shared" si="123"/>
        <v>0.2679491924311227</v>
      </c>
      <c r="CW63" s="9">
        <f t="shared" si="123"/>
        <v>0.2679491924311227</v>
      </c>
      <c r="CX63" s="9">
        <f t="shared" si="123"/>
        <v>0.2679491924311227</v>
      </c>
      <c r="CY63" s="9">
        <f t="shared" si="123"/>
        <v>0.2679491924311227</v>
      </c>
      <c r="DB63" s="17"/>
      <c r="DC63" s="9">
        <f t="shared" si="37"/>
        <v>300</v>
      </c>
      <c r="DD63" s="9">
        <f t="shared" si="38"/>
        <v>215.1005713139929</v>
      </c>
      <c r="DE63" s="9">
        <f t="shared" si="79"/>
        <v>196.33110409635489</v>
      </c>
      <c r="DF63" s="9">
        <f t="shared" si="80"/>
        <v>181.84227107984134</v>
      </c>
      <c r="DG63" s="9">
        <f t="shared" si="81"/>
        <v>167.94098629795192</v>
      </c>
      <c r="DH63" s="9">
        <f t="shared" si="82"/>
        <v>154.48718508409257</v>
      </c>
      <c r="DI63" s="9">
        <f t="shared" si="83"/>
        <v>141.56872063856264</v>
      </c>
      <c r="DJ63" s="9">
        <f t="shared" si="84"/>
        <v>129.27984065964523</v>
      </c>
      <c r="DK63" s="9">
        <f t="shared" si="85"/>
        <v>117.70525437366364</v>
      </c>
      <c r="DL63" s="9">
        <f t="shared" si="86"/>
        <v>106.9181254247538</v>
      </c>
      <c r="DM63" s="9">
        <f t="shared" si="87"/>
        <v>96.979288686424525</v>
      </c>
      <c r="DN63" s="9">
        <f t="shared" si="88"/>
        <v>87.936847665625564</v>
      </c>
      <c r="DO63" s="9">
        <f t="shared" si="89"/>
        <v>79.82608005566486</v>
      </c>
      <c r="DP63" s="9">
        <f t="shared" si="90"/>
        <v>72.669618752721775</v>
      </c>
      <c r="DQ63" s="9">
        <f t="shared" si="91"/>
        <v>66.47786985938292</v>
      </c>
      <c r="DR63" s="9">
        <f t="shared" si="92"/>
        <v>61.249623372386488</v>
      </c>
      <c r="DS63" s="9">
        <f t="shared" si="93"/>
        <v>56.972809476389827</v>
      </c>
      <c r="DT63" s="9">
        <f t="shared" si="94"/>
        <v>53.625353700176987</v>
      </c>
      <c r="DU63" s="9">
        <f t="shared" si="95"/>
        <v>51.176087285450222</v>
      </c>
      <c r="DV63" s="9">
        <f t="shared" si="96"/>
        <v>49.5856744278394</v>
      </c>
      <c r="DW63" s="9">
        <f t="shared" si="97"/>
        <v>48.807524911350974</v>
      </c>
      <c r="DX63" s="9">
        <f t="shared" si="98"/>
        <v>48.788668355715181</v>
      </c>
      <c r="DY63" s="9">
        <f t="shared" si="99"/>
        <v>49.470574131508904</v>
      </c>
      <c r="DZ63" s="9">
        <f t="shared" si="100"/>
        <v>50.789908348318555</v>
      </c>
      <c r="EA63" s="9">
        <f t="shared" si="101"/>
        <v>52.679225691039257</v>
      </c>
      <c r="EB63" s="9">
        <f t="shared" si="47"/>
        <v>55.067598933429409</v>
      </c>
      <c r="EC63" s="9">
        <f t="shared" si="48"/>
        <v>57.881192536716959</v>
      </c>
      <c r="ED63" s="9">
        <f t="shared" si="49"/>
        <v>61.04378885743165</v>
      </c>
      <c r="EE63" s="9">
        <f t="shared" si="50"/>
        <v>64.477276307953076</v>
      </c>
      <c r="EF63" s="9">
        <f t="shared" si="51"/>
        <v>68.102108618250625</v>
      </c>
      <c r="EG63" s="9">
        <f t="shared" si="52"/>
        <v>71.837743493341407</v>
      </c>
    </row>
    <row r="64" spans="6:137" x14ac:dyDescent="0.3">
      <c r="F64" s="17"/>
      <c r="G64" s="3">
        <v>300</v>
      </c>
      <c r="H64" s="2">
        <f t="shared" si="102"/>
        <v>280.28451209215399</v>
      </c>
      <c r="I64" s="2">
        <f t="shared" si="103"/>
        <v>260.73576311264435</v>
      </c>
      <c r="J64" s="2">
        <f t="shared" si="104"/>
        <v>241.51747131108547</v>
      </c>
      <c r="K64" s="2">
        <f t="shared" si="53"/>
        <v>222.78741419664453</v>
      </c>
      <c r="L64" s="2">
        <f t="shared" si="54"/>
        <v>204.69470412190603</v>
      </c>
      <c r="M64" s="2">
        <f t="shared" si="55"/>
        <v>187.37734377748532</v>
      </c>
      <c r="N64" s="2">
        <f t="shared" si="56"/>
        <v>170.96013071462022</v>
      </c>
      <c r="O64" s="2">
        <f t="shared" si="57"/>
        <v>155.55296157926756</v>
      </c>
      <c r="P64" s="2">
        <f t="shared" si="58"/>
        <v>141.24956633387438</v>
      </c>
      <c r="Q64" s="2">
        <f t="shared" si="59"/>
        <v>128.12668177591536</v>
      </c>
      <c r="R64" s="2">
        <f t="shared" si="60"/>
        <v>116.24365353369217</v>
      </c>
      <c r="S64" s="2">
        <f t="shared" si="61"/>
        <v>105.64243769963895</v>
      </c>
      <c r="T64" s="2">
        <f t="shared" si="62"/>
        <v>96.347958393682106</v>
      </c>
      <c r="U64" s="2">
        <f t="shared" si="63"/>
        <v>88.368766578936189</v>
      </c>
      <c r="V64" s="2">
        <f t="shared" si="64"/>
        <v>81.697938780615615</v>
      </c>
      <c r="W64" s="2">
        <f t="shared" si="65"/>
        <v>76.314152032704598</v>
      </c>
      <c r="X64" s="2">
        <f t="shared" si="66"/>
        <v>72.182873106760809</v>
      </c>
      <c r="Y64" s="2">
        <f t="shared" si="67"/>
        <v>69.257605287816176</v>
      </c>
      <c r="Z64" s="2">
        <f t="shared" si="68"/>
        <v>67.481143862801005</v>
      </c>
      <c r="AA64" s="2">
        <f t="shared" si="69"/>
        <v>66.786801156572579</v>
      </c>
      <c r="AB64" s="2">
        <f t="shared" si="70"/>
        <v>67.099572430483221</v>
      </c>
      <c r="AC64" s="2">
        <f t="shared" si="71"/>
        <v>68.337224339554268</v>
      </c>
      <c r="AD64" s="2">
        <f t="shared" si="72"/>
        <v>70.411297145055244</v>
      </c>
      <c r="AE64" s="2">
        <f t="shared" si="73"/>
        <v>73.228019904484029</v>
      </c>
      <c r="AF64" s="2">
        <f t="shared" si="74"/>
        <v>76.689144038853186</v>
      </c>
      <c r="AG64" s="2">
        <f t="shared" si="75"/>
        <v>80.692704871583729</v>
      </c>
      <c r="AH64" s="2">
        <f t="shared" si="76"/>
        <v>85.133723031206941</v>
      </c>
      <c r="AI64" s="2">
        <f t="shared" si="77"/>
        <v>89.904858287519033</v>
      </c>
      <c r="AJ64" s="2">
        <f t="shared" si="39"/>
        <v>94.897027861362915</v>
      </c>
      <c r="AK64" s="2">
        <v>100</v>
      </c>
      <c r="AM64" s="17"/>
      <c r="AN64" s="9">
        <f t="shared" si="6"/>
        <v>-2483999999.9999995</v>
      </c>
      <c r="AO64" s="9">
        <f t="shared" si="6"/>
        <v>-2320065460.9597216</v>
      </c>
      <c r="AP64" s="9">
        <f t="shared" si="7"/>
        <v>-2157524025.855979</v>
      </c>
      <c r="AQ64" s="9">
        <f t="shared" si="8"/>
        <v>-1997743370.851119</v>
      </c>
      <c r="AR64" s="9">
        <f t="shared" si="9"/>
        <v>-1842041172.8038483</v>
      </c>
      <c r="AS64" s="9">
        <f t="shared" si="10"/>
        <v>-1691662202.2458658</v>
      </c>
      <c r="AT64" s="9">
        <f t="shared" si="11"/>
        <v>-1547757796.7319381</v>
      </c>
      <c r="AU64" s="9">
        <f t="shared" si="12"/>
        <v>-1411368300.4571531</v>
      </c>
      <c r="AV64" s="9">
        <f t="shared" si="13"/>
        <v>-1283408897.9719031</v>
      </c>
      <c r="AW64" s="9">
        <f t="shared" si="14"/>
        <v>-1164659094.9985018</v>
      </c>
      <c r="AX64" s="9">
        <f t="shared" si="15"/>
        <v>-1055755919.9574324</v>
      </c>
      <c r="AY64" s="9">
        <f t="shared" si="16"/>
        <v>-957190747.88914716</v>
      </c>
      <c r="AZ64" s="9">
        <f t="shared" si="17"/>
        <v>-869309494.92669153</v>
      </c>
      <c r="BA64" s="9">
        <f t="shared" si="18"/>
        <v>-792315805.28607452</v>
      </c>
      <c r="BB64" s="9">
        <f t="shared" si="19"/>
        <v>-726276760.24559069</v>
      </c>
      <c r="BC64" s="9">
        <f t="shared" si="20"/>
        <v>-671130583.15480161</v>
      </c>
      <c r="BD64" s="9">
        <f t="shared" si="21"/>
        <v>-626695796.44784963</v>
      </c>
      <c r="BE64" s="9">
        <f t="shared" si="22"/>
        <v>-592681303.34100282</v>
      </c>
      <c r="BF64" s="9">
        <f t="shared" si="23"/>
        <v>-568696913.31224978</v>
      </c>
      <c r="BG64" s="9">
        <f t="shared" si="24"/>
        <v>-554263899.68821502</v>
      </c>
      <c r="BH64" s="9">
        <f t="shared" si="25"/>
        <v>-548825261.69864511</v>
      </c>
      <c r="BI64" s="9">
        <f t="shared" si="26"/>
        <v>-551755453.89483678</v>
      </c>
      <c r="BJ64" s="9">
        <f t="shared" si="27"/>
        <v>-562369435.02028942</v>
      </c>
      <c r="BK64" s="9">
        <f t="shared" si="28"/>
        <v>-579930969.55179596</v>
      </c>
      <c r="BL64" s="9">
        <f t="shared" si="29"/>
        <v>-603660183.11687446</v>
      </c>
      <c r="BM64" s="9">
        <f t="shared" si="30"/>
        <v>-632740424.7104882</v>
      </c>
      <c r="BN64" s="9">
        <f t="shared" si="31"/>
        <v>-666324523.00337744</v>
      </c>
      <c r="BO64" s="9">
        <f t="shared" si="32"/>
        <v>-703540541.91810119</v>
      </c>
      <c r="BP64" s="9">
        <f t="shared" si="33"/>
        <v>-743497144.54607582</v>
      </c>
      <c r="BQ64" s="9">
        <f t="shared" si="34"/>
        <v>-785288668.07384074</v>
      </c>
      <c r="BR64" s="9">
        <f t="shared" si="35"/>
        <v>-827999999.99999988</v>
      </c>
      <c r="BT64" s="17"/>
      <c r="BU64" s="9">
        <v>0</v>
      </c>
      <c r="BV64" s="9">
        <f t="shared" ref="BV64:CY64" si="124">$C$12/($C$13-BU64*$C$14)</f>
        <v>0.25</v>
      </c>
      <c r="BW64" s="9">
        <f t="shared" si="124"/>
        <v>0.26666666666666666</v>
      </c>
      <c r="BX64" s="9">
        <f t="shared" si="124"/>
        <v>0.26785714285714285</v>
      </c>
      <c r="BY64" s="9">
        <f t="shared" si="124"/>
        <v>0.26794258373205743</v>
      </c>
      <c r="BZ64" s="9">
        <f t="shared" si="124"/>
        <v>0.26794871794871794</v>
      </c>
      <c r="CA64" s="9">
        <f t="shared" si="124"/>
        <v>0.26794915836482308</v>
      </c>
      <c r="CB64" s="9">
        <f t="shared" si="124"/>
        <v>0.26794918998527245</v>
      </c>
      <c r="CC64" s="9">
        <f t="shared" si="124"/>
        <v>0.26794919225551855</v>
      </c>
      <c r="CD64" s="9">
        <f t="shared" si="124"/>
        <v>0.26794919241851489</v>
      </c>
      <c r="CE64" s="9">
        <f t="shared" si="124"/>
        <v>0.26794919243021753</v>
      </c>
      <c r="CF64" s="9">
        <f t="shared" si="124"/>
        <v>0.26794919243105775</v>
      </c>
      <c r="CG64" s="9">
        <f t="shared" si="124"/>
        <v>0.26794919243111803</v>
      </c>
      <c r="CH64" s="9">
        <f t="shared" si="124"/>
        <v>0.26794919243112236</v>
      </c>
      <c r="CI64" s="9">
        <f t="shared" si="124"/>
        <v>0.2679491924311227</v>
      </c>
      <c r="CJ64" s="9">
        <f t="shared" si="124"/>
        <v>0.2679491924311227</v>
      </c>
      <c r="CK64" s="9">
        <f t="shared" si="124"/>
        <v>0.2679491924311227</v>
      </c>
      <c r="CL64" s="9">
        <f t="shared" si="124"/>
        <v>0.2679491924311227</v>
      </c>
      <c r="CM64" s="9">
        <f t="shared" si="124"/>
        <v>0.2679491924311227</v>
      </c>
      <c r="CN64" s="9">
        <f t="shared" si="124"/>
        <v>0.2679491924311227</v>
      </c>
      <c r="CO64" s="9">
        <f t="shared" si="124"/>
        <v>0.2679491924311227</v>
      </c>
      <c r="CP64" s="9">
        <f t="shared" si="124"/>
        <v>0.2679491924311227</v>
      </c>
      <c r="CQ64" s="9">
        <f t="shared" si="124"/>
        <v>0.2679491924311227</v>
      </c>
      <c r="CR64" s="9">
        <f t="shared" si="124"/>
        <v>0.2679491924311227</v>
      </c>
      <c r="CS64" s="9">
        <f t="shared" si="124"/>
        <v>0.2679491924311227</v>
      </c>
      <c r="CT64" s="9">
        <f t="shared" si="124"/>
        <v>0.2679491924311227</v>
      </c>
      <c r="CU64" s="9">
        <f t="shared" si="124"/>
        <v>0.2679491924311227</v>
      </c>
      <c r="CV64" s="9">
        <f t="shared" si="124"/>
        <v>0.2679491924311227</v>
      </c>
      <c r="CW64" s="9">
        <f t="shared" si="124"/>
        <v>0.2679491924311227</v>
      </c>
      <c r="CX64" s="9">
        <f t="shared" si="124"/>
        <v>0.2679491924311227</v>
      </c>
      <c r="CY64" s="9">
        <f t="shared" si="124"/>
        <v>0.2679491924311227</v>
      </c>
      <c r="DB64" s="17"/>
      <c r="DC64" s="9">
        <f t="shared" si="37"/>
        <v>300</v>
      </c>
      <c r="DD64" s="9">
        <f t="shared" si="38"/>
        <v>215.1005713139929</v>
      </c>
      <c r="DE64" s="9">
        <f t="shared" si="79"/>
        <v>196.33110409635489</v>
      </c>
      <c r="DF64" s="9">
        <f t="shared" si="80"/>
        <v>181.8422710798414</v>
      </c>
      <c r="DG64" s="9">
        <f t="shared" si="81"/>
        <v>167.94098629795201</v>
      </c>
      <c r="DH64" s="9">
        <f t="shared" si="82"/>
        <v>154.48718508409266</v>
      </c>
      <c r="DI64" s="9">
        <f t="shared" si="83"/>
        <v>141.5687206385627</v>
      </c>
      <c r="DJ64" s="9">
        <f t="shared" si="84"/>
        <v>129.27984065964526</v>
      </c>
      <c r="DK64" s="9">
        <f t="shared" si="85"/>
        <v>117.70525437366365</v>
      </c>
      <c r="DL64" s="9">
        <f t="shared" si="86"/>
        <v>106.9181254247538</v>
      </c>
      <c r="DM64" s="9">
        <f t="shared" si="87"/>
        <v>96.979288686424525</v>
      </c>
      <c r="DN64" s="9">
        <f t="shared" si="88"/>
        <v>87.936847665625578</v>
      </c>
      <c r="DO64" s="9">
        <f t="shared" si="89"/>
        <v>79.826080055664875</v>
      </c>
      <c r="DP64" s="9">
        <f t="shared" si="90"/>
        <v>72.669618752721803</v>
      </c>
      <c r="DQ64" s="9">
        <f t="shared" si="91"/>
        <v>66.477869859382935</v>
      </c>
      <c r="DR64" s="9">
        <f t="shared" si="92"/>
        <v>61.249623372386495</v>
      </c>
      <c r="DS64" s="9">
        <f t="shared" si="93"/>
        <v>56.972809476389834</v>
      </c>
      <c r="DT64" s="9">
        <f t="shared" si="94"/>
        <v>53.625353700177016</v>
      </c>
      <c r="DU64" s="9">
        <f t="shared" si="95"/>
        <v>51.176087285450237</v>
      </c>
      <c r="DV64" s="9">
        <f t="shared" si="96"/>
        <v>49.585674427839407</v>
      </c>
      <c r="DW64" s="9">
        <f t="shared" si="97"/>
        <v>48.807524911350981</v>
      </c>
      <c r="DX64" s="9">
        <f t="shared" si="98"/>
        <v>48.788668355715188</v>
      </c>
      <c r="DY64" s="9">
        <f t="shared" si="99"/>
        <v>49.470574131508904</v>
      </c>
      <c r="DZ64" s="9">
        <f t="shared" si="100"/>
        <v>50.789908348318562</v>
      </c>
      <c r="EA64" s="9">
        <f t="shared" si="101"/>
        <v>52.679225691039264</v>
      </c>
      <c r="EB64" s="9">
        <f t="shared" si="47"/>
        <v>55.067598933429409</v>
      </c>
      <c r="EC64" s="9">
        <f t="shared" si="48"/>
        <v>57.881192536716959</v>
      </c>
      <c r="ED64" s="9">
        <f t="shared" si="49"/>
        <v>61.043788857431686</v>
      </c>
      <c r="EE64" s="9">
        <f t="shared" si="50"/>
        <v>64.47727630795309</v>
      </c>
      <c r="EF64" s="9">
        <f t="shared" si="51"/>
        <v>68.102108618250639</v>
      </c>
      <c r="EG64" s="9">
        <f t="shared" si="52"/>
        <v>71.837743493341407</v>
      </c>
    </row>
    <row r="65" spans="6:137" x14ac:dyDescent="0.3">
      <c r="F65" s="17"/>
      <c r="G65" s="3">
        <v>300</v>
      </c>
      <c r="H65" s="2">
        <f t="shared" si="102"/>
        <v>280.28451209215399</v>
      </c>
      <c r="I65" s="2">
        <f t="shared" si="103"/>
        <v>260.73576311264435</v>
      </c>
      <c r="J65" s="2">
        <f t="shared" si="104"/>
        <v>241.51747131108547</v>
      </c>
      <c r="K65" s="2">
        <f t="shared" si="53"/>
        <v>222.78741419664453</v>
      </c>
      <c r="L65" s="2">
        <f t="shared" si="54"/>
        <v>204.69470412190603</v>
      </c>
      <c r="M65" s="2">
        <f t="shared" si="55"/>
        <v>187.37734377748532</v>
      </c>
      <c r="N65" s="2">
        <f t="shared" si="56"/>
        <v>170.96013071462022</v>
      </c>
      <c r="O65" s="2">
        <f t="shared" si="57"/>
        <v>155.55296157926756</v>
      </c>
      <c r="P65" s="2">
        <f t="shared" si="58"/>
        <v>141.24956633387438</v>
      </c>
      <c r="Q65" s="2">
        <f t="shared" si="59"/>
        <v>128.12668177591536</v>
      </c>
      <c r="R65" s="2">
        <f t="shared" si="60"/>
        <v>116.24365353369217</v>
      </c>
      <c r="S65" s="2">
        <f t="shared" si="61"/>
        <v>105.64243769963895</v>
      </c>
      <c r="T65" s="2">
        <f t="shared" si="62"/>
        <v>96.347958393682106</v>
      </c>
      <c r="U65" s="2">
        <f t="shared" si="63"/>
        <v>88.368766578936189</v>
      </c>
      <c r="V65" s="2">
        <f t="shared" si="64"/>
        <v>81.697938780615615</v>
      </c>
      <c r="W65" s="2">
        <f t="shared" si="65"/>
        <v>76.314152032704598</v>
      </c>
      <c r="X65" s="2">
        <f t="shared" si="66"/>
        <v>72.182873106760809</v>
      </c>
      <c r="Y65" s="2">
        <f t="shared" si="67"/>
        <v>69.257605287816176</v>
      </c>
      <c r="Z65" s="2">
        <f t="shared" si="68"/>
        <v>67.481143862801005</v>
      </c>
      <c r="AA65" s="2">
        <f t="shared" si="69"/>
        <v>66.786801156572579</v>
      </c>
      <c r="AB65" s="2">
        <f t="shared" si="70"/>
        <v>67.099572430483221</v>
      </c>
      <c r="AC65" s="2">
        <f t="shared" si="71"/>
        <v>68.337224339554268</v>
      </c>
      <c r="AD65" s="2">
        <f t="shared" si="72"/>
        <v>70.411297145055244</v>
      </c>
      <c r="AE65" s="2">
        <f t="shared" si="73"/>
        <v>73.228019904484029</v>
      </c>
      <c r="AF65" s="2">
        <f t="shared" si="74"/>
        <v>76.689144038853186</v>
      </c>
      <c r="AG65" s="2">
        <f t="shared" si="75"/>
        <v>80.692704871583729</v>
      </c>
      <c r="AH65" s="2">
        <f t="shared" si="76"/>
        <v>85.133723031206941</v>
      </c>
      <c r="AI65" s="2">
        <f t="shared" si="77"/>
        <v>89.904858287519033</v>
      </c>
      <c r="AJ65" s="2">
        <f t="shared" si="39"/>
        <v>94.897027861362915</v>
      </c>
      <c r="AK65" s="2">
        <v>100</v>
      </c>
      <c r="AM65" s="17"/>
      <c r="AN65" s="9">
        <f t="shared" si="6"/>
        <v>-2483999999.9999995</v>
      </c>
      <c r="AO65" s="9">
        <f t="shared" si="6"/>
        <v>-2320065460.9597216</v>
      </c>
      <c r="AP65" s="9">
        <f t="shared" si="7"/>
        <v>-2157524025.855979</v>
      </c>
      <c r="AQ65" s="9">
        <f t="shared" si="8"/>
        <v>-1997743370.851119</v>
      </c>
      <c r="AR65" s="9">
        <f t="shared" si="9"/>
        <v>-1842041172.8038483</v>
      </c>
      <c r="AS65" s="9">
        <f t="shared" si="10"/>
        <v>-1691662202.2458658</v>
      </c>
      <c r="AT65" s="9">
        <f t="shared" si="11"/>
        <v>-1547757796.7319381</v>
      </c>
      <c r="AU65" s="9">
        <f t="shared" si="12"/>
        <v>-1411368300.4571531</v>
      </c>
      <c r="AV65" s="9">
        <f t="shared" si="13"/>
        <v>-1283408897.9719031</v>
      </c>
      <c r="AW65" s="9">
        <f t="shared" si="14"/>
        <v>-1164659094.9985018</v>
      </c>
      <c r="AX65" s="9">
        <f t="shared" si="15"/>
        <v>-1055755919.9574324</v>
      </c>
      <c r="AY65" s="9">
        <f t="shared" si="16"/>
        <v>-957190747.88914716</v>
      </c>
      <c r="AZ65" s="9">
        <f t="shared" si="17"/>
        <v>-869309494.92669153</v>
      </c>
      <c r="BA65" s="9">
        <f t="shared" si="18"/>
        <v>-792315805.28607452</v>
      </c>
      <c r="BB65" s="9">
        <f t="shared" si="19"/>
        <v>-726276760.24559069</v>
      </c>
      <c r="BC65" s="9">
        <f t="shared" si="20"/>
        <v>-671130583.15480161</v>
      </c>
      <c r="BD65" s="9">
        <f t="shared" si="21"/>
        <v>-626695796.44784963</v>
      </c>
      <c r="BE65" s="9">
        <f t="shared" si="22"/>
        <v>-592681303.34100282</v>
      </c>
      <c r="BF65" s="9">
        <f t="shared" si="23"/>
        <v>-568696913.31224978</v>
      </c>
      <c r="BG65" s="9">
        <f t="shared" si="24"/>
        <v>-554263899.68821502</v>
      </c>
      <c r="BH65" s="9">
        <f t="shared" si="25"/>
        <v>-548825261.69864511</v>
      </c>
      <c r="BI65" s="9">
        <f t="shared" si="26"/>
        <v>-551755453.89483678</v>
      </c>
      <c r="BJ65" s="9">
        <f t="shared" si="27"/>
        <v>-562369435.02028942</v>
      </c>
      <c r="BK65" s="9">
        <f t="shared" si="28"/>
        <v>-579930969.55179596</v>
      </c>
      <c r="BL65" s="9">
        <f t="shared" si="29"/>
        <v>-603660183.11687446</v>
      </c>
      <c r="BM65" s="9">
        <f t="shared" si="30"/>
        <v>-632740424.7104882</v>
      </c>
      <c r="BN65" s="9">
        <f t="shared" si="31"/>
        <v>-666324523.00337744</v>
      </c>
      <c r="BO65" s="9">
        <f t="shared" si="32"/>
        <v>-703540541.91810119</v>
      </c>
      <c r="BP65" s="9">
        <f t="shared" si="33"/>
        <v>-743497144.54607582</v>
      </c>
      <c r="BQ65" s="9">
        <f t="shared" si="34"/>
        <v>-785288668.07384074</v>
      </c>
      <c r="BR65" s="9">
        <f t="shared" si="35"/>
        <v>-827999999.99999988</v>
      </c>
      <c r="BT65" s="17"/>
      <c r="BU65" s="9">
        <v>0</v>
      </c>
      <c r="BV65" s="9">
        <f t="shared" ref="BV65:CY65" si="125">$C$12/($C$13-BU65*$C$14)</f>
        <v>0.25</v>
      </c>
      <c r="BW65" s="9">
        <f t="shared" si="125"/>
        <v>0.26666666666666666</v>
      </c>
      <c r="BX65" s="9">
        <f t="shared" si="125"/>
        <v>0.26785714285714285</v>
      </c>
      <c r="BY65" s="9">
        <f t="shared" si="125"/>
        <v>0.26794258373205743</v>
      </c>
      <c r="BZ65" s="9">
        <f t="shared" si="125"/>
        <v>0.26794871794871794</v>
      </c>
      <c r="CA65" s="9">
        <f t="shared" si="125"/>
        <v>0.26794915836482308</v>
      </c>
      <c r="CB65" s="9">
        <f t="shared" si="125"/>
        <v>0.26794918998527245</v>
      </c>
      <c r="CC65" s="9">
        <f t="shared" si="125"/>
        <v>0.26794919225551855</v>
      </c>
      <c r="CD65" s="9">
        <f t="shared" si="125"/>
        <v>0.26794919241851489</v>
      </c>
      <c r="CE65" s="9">
        <f t="shared" si="125"/>
        <v>0.26794919243021753</v>
      </c>
      <c r="CF65" s="9">
        <f t="shared" si="125"/>
        <v>0.26794919243105775</v>
      </c>
      <c r="CG65" s="9">
        <f t="shared" si="125"/>
        <v>0.26794919243111803</v>
      </c>
      <c r="CH65" s="9">
        <f t="shared" si="125"/>
        <v>0.26794919243112236</v>
      </c>
      <c r="CI65" s="9">
        <f t="shared" si="125"/>
        <v>0.2679491924311227</v>
      </c>
      <c r="CJ65" s="9">
        <f t="shared" si="125"/>
        <v>0.2679491924311227</v>
      </c>
      <c r="CK65" s="9">
        <f t="shared" si="125"/>
        <v>0.2679491924311227</v>
      </c>
      <c r="CL65" s="9">
        <f t="shared" si="125"/>
        <v>0.2679491924311227</v>
      </c>
      <c r="CM65" s="9">
        <f t="shared" si="125"/>
        <v>0.2679491924311227</v>
      </c>
      <c r="CN65" s="9">
        <f t="shared" si="125"/>
        <v>0.2679491924311227</v>
      </c>
      <c r="CO65" s="9">
        <f t="shared" si="125"/>
        <v>0.2679491924311227</v>
      </c>
      <c r="CP65" s="9">
        <f t="shared" si="125"/>
        <v>0.2679491924311227</v>
      </c>
      <c r="CQ65" s="9">
        <f t="shared" si="125"/>
        <v>0.2679491924311227</v>
      </c>
      <c r="CR65" s="9">
        <f t="shared" si="125"/>
        <v>0.2679491924311227</v>
      </c>
      <c r="CS65" s="9">
        <f t="shared" si="125"/>
        <v>0.2679491924311227</v>
      </c>
      <c r="CT65" s="9">
        <f t="shared" si="125"/>
        <v>0.2679491924311227</v>
      </c>
      <c r="CU65" s="9">
        <f t="shared" si="125"/>
        <v>0.2679491924311227</v>
      </c>
      <c r="CV65" s="9">
        <f t="shared" si="125"/>
        <v>0.2679491924311227</v>
      </c>
      <c r="CW65" s="9">
        <f t="shared" si="125"/>
        <v>0.2679491924311227</v>
      </c>
      <c r="CX65" s="9">
        <f t="shared" si="125"/>
        <v>0.2679491924311227</v>
      </c>
      <c r="CY65" s="9">
        <f t="shared" si="125"/>
        <v>0.2679491924311227</v>
      </c>
      <c r="DB65" s="17"/>
      <c r="DC65" s="9">
        <f t="shared" si="37"/>
        <v>300</v>
      </c>
      <c r="DD65" s="9">
        <f t="shared" si="38"/>
        <v>215.1005713139929</v>
      </c>
      <c r="DE65" s="9">
        <f t="shared" si="79"/>
        <v>196.33110409635489</v>
      </c>
      <c r="DF65" s="9">
        <f t="shared" si="80"/>
        <v>181.8422710798414</v>
      </c>
      <c r="DG65" s="9">
        <f t="shared" si="81"/>
        <v>167.94098629795201</v>
      </c>
      <c r="DH65" s="9">
        <f t="shared" si="82"/>
        <v>154.48718508409266</v>
      </c>
      <c r="DI65" s="9">
        <f t="shared" si="83"/>
        <v>141.5687206385627</v>
      </c>
      <c r="DJ65" s="9">
        <f t="shared" si="84"/>
        <v>129.27984065964526</v>
      </c>
      <c r="DK65" s="9">
        <f t="shared" si="85"/>
        <v>117.70525437366365</v>
      </c>
      <c r="DL65" s="9">
        <f t="shared" si="86"/>
        <v>106.9181254247538</v>
      </c>
      <c r="DM65" s="9">
        <f t="shared" si="87"/>
        <v>96.979288686424525</v>
      </c>
      <c r="DN65" s="9">
        <f t="shared" si="88"/>
        <v>87.936847665625578</v>
      </c>
      <c r="DO65" s="9">
        <f t="shared" si="89"/>
        <v>79.826080055664875</v>
      </c>
      <c r="DP65" s="9">
        <f t="shared" si="90"/>
        <v>72.669618752721803</v>
      </c>
      <c r="DQ65" s="9">
        <f t="shared" si="91"/>
        <v>66.477869859382935</v>
      </c>
      <c r="DR65" s="9">
        <f t="shared" si="92"/>
        <v>61.249623372386495</v>
      </c>
      <c r="DS65" s="9">
        <f t="shared" si="93"/>
        <v>56.972809476389834</v>
      </c>
      <c r="DT65" s="9">
        <f t="shared" si="94"/>
        <v>53.625353700177016</v>
      </c>
      <c r="DU65" s="9">
        <f t="shared" si="95"/>
        <v>51.176087285450237</v>
      </c>
      <c r="DV65" s="9">
        <f t="shared" si="96"/>
        <v>49.585674427839407</v>
      </c>
      <c r="DW65" s="9">
        <f t="shared" si="97"/>
        <v>48.807524911350981</v>
      </c>
      <c r="DX65" s="9">
        <f t="shared" si="98"/>
        <v>48.788668355715188</v>
      </c>
      <c r="DY65" s="9">
        <f t="shared" si="99"/>
        <v>49.470574131508904</v>
      </c>
      <c r="DZ65" s="9">
        <f t="shared" si="100"/>
        <v>50.789908348318562</v>
      </c>
      <c r="EA65" s="9">
        <f t="shared" si="101"/>
        <v>52.679225691039264</v>
      </c>
      <c r="EB65" s="9">
        <f t="shared" si="47"/>
        <v>55.067598933429409</v>
      </c>
      <c r="EC65" s="9">
        <f t="shared" si="48"/>
        <v>57.881192536716959</v>
      </c>
      <c r="ED65" s="9">
        <f t="shared" si="49"/>
        <v>61.043788857431686</v>
      </c>
      <c r="EE65" s="9">
        <f t="shared" si="50"/>
        <v>64.47727630795309</v>
      </c>
      <c r="EF65" s="9">
        <f t="shared" si="51"/>
        <v>68.102108618250639</v>
      </c>
      <c r="EG65" s="9">
        <f t="shared" si="52"/>
        <v>71.837743493341407</v>
      </c>
    </row>
    <row r="68" spans="6:137" x14ac:dyDescent="0.3">
      <c r="G68" s="7">
        <v>0</v>
      </c>
      <c r="H68" s="8">
        <f>G68+$B$3</f>
        <v>3.3333333333333335E-3</v>
      </c>
      <c r="I68" s="8">
        <f t="shared" ref="I68" si="126">H68+$B$3</f>
        <v>6.6666666666666671E-3</v>
      </c>
      <c r="J68" s="8">
        <f t="shared" ref="J68" si="127">I68+$B$3</f>
        <v>0.01</v>
      </c>
      <c r="K68" s="8">
        <f t="shared" ref="K68" si="128">J68+$B$3</f>
        <v>1.3333333333333334E-2</v>
      </c>
      <c r="L68" s="8">
        <f t="shared" ref="L68" si="129">K68+$B$3</f>
        <v>1.6666666666666666E-2</v>
      </c>
      <c r="M68" s="8">
        <f t="shared" ref="M68" si="130">L68+$B$3</f>
        <v>0.02</v>
      </c>
      <c r="N68" s="8">
        <f t="shared" ref="N68" si="131">M68+$B$3</f>
        <v>2.3333333333333334E-2</v>
      </c>
      <c r="O68" s="8">
        <f t="shared" ref="O68" si="132">N68+$B$3</f>
        <v>2.6666666666666668E-2</v>
      </c>
      <c r="P68" s="8">
        <f t="shared" ref="P68" si="133">O68+$B$3</f>
        <v>3.0000000000000002E-2</v>
      </c>
      <c r="Q68" s="8">
        <f t="shared" ref="Q68" si="134">P68+$B$3</f>
        <v>3.3333333333333333E-2</v>
      </c>
      <c r="R68" s="8">
        <f t="shared" ref="R68" si="135">Q68+$B$3</f>
        <v>3.6666666666666667E-2</v>
      </c>
      <c r="S68" s="8">
        <f t="shared" ref="S68" si="136">R68+$B$3</f>
        <v>0.04</v>
      </c>
      <c r="T68" s="8">
        <f t="shared" ref="T68" si="137">S68+$B$3</f>
        <v>4.3333333333333335E-2</v>
      </c>
      <c r="U68" s="8">
        <f t="shared" ref="U68" si="138">T68+$B$3</f>
        <v>4.6666666666666669E-2</v>
      </c>
      <c r="V68" s="8">
        <f t="shared" ref="V68" si="139">U68+$B$3</f>
        <v>0.05</v>
      </c>
      <c r="W68" s="8">
        <f t="shared" ref="W68" si="140">V68+$B$3</f>
        <v>5.3333333333333337E-2</v>
      </c>
      <c r="X68" s="8">
        <f t="shared" ref="X68" si="141">W68+$B$3</f>
        <v>5.6666666666666671E-2</v>
      </c>
      <c r="Y68" s="8">
        <f t="shared" ref="Y68" si="142">X68+$B$3</f>
        <v>6.0000000000000005E-2</v>
      </c>
      <c r="Z68" s="8">
        <f t="shared" ref="Z68" si="143">Y68+$B$3</f>
        <v>6.3333333333333339E-2</v>
      </c>
      <c r="AA68" s="8">
        <f t="shared" ref="AA68" si="144">Z68+$B$3</f>
        <v>6.6666666666666666E-2</v>
      </c>
      <c r="AB68" s="8">
        <f t="shared" ref="AB68" si="145">AA68+$B$3</f>
        <v>6.9999999999999993E-2</v>
      </c>
      <c r="AC68" s="8">
        <f t="shared" ref="AC68" si="146">AB68+$B$3</f>
        <v>7.333333333333332E-2</v>
      </c>
      <c r="AD68" s="8">
        <f t="shared" ref="AD68" si="147">AC68+$B$3</f>
        <v>7.6666666666666647E-2</v>
      </c>
      <c r="AE68" s="8">
        <f t="shared" ref="AE68" si="148">AD68+$B$3</f>
        <v>7.9999999999999974E-2</v>
      </c>
      <c r="AF68" s="8">
        <f t="shared" ref="AF68" si="149">AE68+$B$3</f>
        <v>8.3333333333333301E-2</v>
      </c>
      <c r="AG68" s="8">
        <f t="shared" ref="AG68" si="150">AF68+$B$3</f>
        <v>8.6666666666666628E-2</v>
      </c>
      <c r="AH68" s="8">
        <f t="shared" ref="AH68" si="151">AG68+$B$3</f>
        <v>8.9999999999999955E-2</v>
      </c>
      <c r="AI68" s="8">
        <f t="shared" ref="AI68" si="152">AH68+$B$3</f>
        <v>9.3333333333333282E-2</v>
      </c>
      <c r="AJ68" s="8">
        <f t="shared" ref="AJ68" si="153">AI68+$B$3</f>
        <v>9.6666666666666609E-2</v>
      </c>
      <c r="AK68" s="8">
        <f t="shared" ref="AK68" si="154">AJ68+$B$3</f>
        <v>9.9999999999999936E-2</v>
      </c>
    </row>
    <row r="69" spans="6:137" x14ac:dyDescent="0.3">
      <c r="F69" s="17" t="s">
        <v>21</v>
      </c>
      <c r="G69" s="18">
        <f t="shared" ref="G69:AI69" si="155">DC70/(1-BU70)</f>
        <v>300</v>
      </c>
      <c r="H69" s="18">
        <f t="shared" si="155"/>
        <v>280.28451209215393</v>
      </c>
      <c r="I69" s="18">
        <f t="shared" si="155"/>
        <v>260.73576311264429</v>
      </c>
      <c r="J69" s="18">
        <f t="shared" si="155"/>
        <v>241.51747131108533</v>
      </c>
      <c r="K69" s="18">
        <f t="shared" si="155"/>
        <v>222.78741419664436</v>
      </c>
      <c r="L69" s="18">
        <f t="shared" si="155"/>
        <v>204.69470412190583</v>
      </c>
      <c r="M69" s="18">
        <f t="shared" si="155"/>
        <v>187.37734377748515</v>
      </c>
      <c r="N69" s="18">
        <f t="shared" si="155"/>
        <v>170.96013071462002</v>
      </c>
      <c r="O69" s="18">
        <f t="shared" si="155"/>
        <v>155.55296157926742</v>
      </c>
      <c r="P69" s="18">
        <f t="shared" si="155"/>
        <v>141.24956633387424</v>
      </c>
      <c r="Q69" s="18">
        <f t="shared" si="155"/>
        <v>128.1266817759153</v>
      </c>
      <c r="R69" s="18">
        <f t="shared" si="155"/>
        <v>116.24365353369217</v>
      </c>
      <c r="S69" s="18">
        <f t="shared" si="155"/>
        <v>105.6424376996389</v>
      </c>
      <c r="T69" s="18">
        <f t="shared" si="155"/>
        <v>96.347958393682077</v>
      </c>
      <c r="U69" s="18">
        <f t="shared" si="155"/>
        <v>88.36876657893616</v>
      </c>
      <c r="V69" s="18">
        <f t="shared" si="155"/>
        <v>81.697938780615601</v>
      </c>
      <c r="W69" s="18">
        <f t="shared" si="155"/>
        <v>76.314152032704598</v>
      </c>
      <c r="X69" s="18">
        <f t="shared" si="155"/>
        <v>72.182873106760809</v>
      </c>
      <c r="Y69" s="18">
        <f t="shared" si="155"/>
        <v>69.257605287816176</v>
      </c>
      <c r="Z69" s="18">
        <f t="shared" si="155"/>
        <v>67.481143862801019</v>
      </c>
      <c r="AA69" s="18">
        <f t="shared" si="155"/>
        <v>66.786801156572594</v>
      </c>
      <c r="AB69" s="18">
        <f t="shared" si="155"/>
        <v>67.099572430483235</v>
      </c>
      <c r="AC69" s="18">
        <f t="shared" si="155"/>
        <v>68.337224339554268</v>
      </c>
      <c r="AD69" s="18">
        <f t="shared" si="155"/>
        <v>70.411297145055258</v>
      </c>
      <c r="AE69" s="18">
        <f t="shared" si="155"/>
        <v>73.228019904484043</v>
      </c>
      <c r="AF69" s="18">
        <f t="shared" si="155"/>
        <v>76.689144038853215</v>
      </c>
      <c r="AG69" s="18">
        <f t="shared" si="155"/>
        <v>80.692704871583686</v>
      </c>
      <c r="AH69" s="18">
        <f t="shared" si="155"/>
        <v>85.133723031206912</v>
      </c>
      <c r="AI69" s="18">
        <f t="shared" si="155"/>
        <v>89.904858287519005</v>
      </c>
      <c r="AJ69" s="18">
        <f>EF70/(1-CX70)</f>
        <v>94.897027861362872</v>
      </c>
      <c r="AK69" s="18">
        <f>EG70/(1-CY70)</f>
        <v>99.999999999999986</v>
      </c>
      <c r="AM69" s="17" t="s">
        <v>18</v>
      </c>
      <c r="AN69" s="10">
        <f>-($B$9*$B$8*G35)/$B$6</f>
        <v>-2483999999.9999995</v>
      </c>
      <c r="AO69" s="10">
        <f t="shared" ref="AO69:BR77" si="156">-($B$9*$B$8*H35)/$B$6</f>
        <v>-2320755760.123034</v>
      </c>
      <c r="AP69" s="10">
        <f t="shared" si="156"/>
        <v>-2158892118.5726943</v>
      </c>
      <c r="AQ69" s="10">
        <f t="shared" si="156"/>
        <v>-1999764662.4557862</v>
      </c>
      <c r="AR69" s="10">
        <f t="shared" si="156"/>
        <v>-1844679789.5482149</v>
      </c>
      <c r="AS69" s="10">
        <f t="shared" si="156"/>
        <v>-1694872150.12938</v>
      </c>
      <c r="AT69" s="10">
        <f t="shared" si="156"/>
        <v>-1551484406.4775767</v>
      </c>
      <c r="AU69" s="10">
        <f t="shared" si="156"/>
        <v>-1415549882.3170536</v>
      </c>
      <c r="AV69" s="10">
        <f t="shared" si="156"/>
        <v>-1287978521.876334</v>
      </c>
      <c r="AW69" s="10">
        <f t="shared" si="156"/>
        <v>-1169546409.2444785</v>
      </c>
      <c r="AX69" s="10">
        <f t="shared" si="156"/>
        <v>-1060888925.1045785</v>
      </c>
      <c r="AY69" s="10">
        <f t="shared" si="156"/>
        <v>-962497451.25897086</v>
      </c>
      <c r="AZ69" s="10">
        <f t="shared" si="156"/>
        <v>-874719384.15301001</v>
      </c>
      <c r="BA69" s="10">
        <f t="shared" si="156"/>
        <v>-797761095.49968731</v>
      </c>
      <c r="BB69" s="10">
        <f t="shared" si="156"/>
        <v>-731693387.27359128</v>
      </c>
      <c r="BC69" s="10">
        <f t="shared" si="156"/>
        <v>-676458933.10349703</v>
      </c>
      <c r="BD69" s="10">
        <f t="shared" si="156"/>
        <v>-631881178.83079386</v>
      </c>
      <c r="BE69" s="10">
        <f t="shared" si="156"/>
        <v>-597674189.32397938</v>
      </c>
      <c r="BF69" s="10">
        <f t="shared" si="156"/>
        <v>-573452971.78311777</v>
      </c>
      <c r="BG69" s="10">
        <f t="shared" si="156"/>
        <v>-558743871.18399227</v>
      </c>
      <c r="BH69" s="10">
        <f t="shared" si="156"/>
        <v>-552994713.5764209</v>
      </c>
      <c r="BI69" s="10">
        <f t="shared" si="156"/>
        <v>-555584459.724401</v>
      </c>
      <c r="BJ69" s="10">
        <f t="shared" si="156"/>
        <v>-565832217.53150928</v>
      </c>
      <c r="BK69" s="10">
        <f t="shared" si="156"/>
        <v>-583005540.3610574</v>
      </c>
      <c r="BL69" s="10">
        <f t="shared" si="156"/>
        <v>-606328004.80912781</v>
      </c>
      <c r="BM69" s="10">
        <f t="shared" si="156"/>
        <v>-634986112.64170444</v>
      </c>
      <c r="BN69" s="10">
        <f t="shared" si="156"/>
        <v>-668135596.33671284</v>
      </c>
      <c r="BO69" s="10">
        <f t="shared" si="156"/>
        <v>-704907226.69839311</v>
      </c>
      <c r="BP69" s="10">
        <f t="shared" si="156"/>
        <v>-744412226.62065721</v>
      </c>
      <c r="BQ69" s="10">
        <f t="shared" si="156"/>
        <v>-785747390.69208455</v>
      </c>
      <c r="BR69" s="10">
        <f t="shared" si="156"/>
        <v>-827999999.99999988</v>
      </c>
      <c r="BT69" s="17" t="s">
        <v>19</v>
      </c>
      <c r="BU69" s="10">
        <f t="shared" ref="BU69:BU97" si="157">$C$16/($C$17-BU70*$C$18)</f>
        <v>0.2679491924311227</v>
      </c>
      <c r="BV69" s="10">
        <f t="shared" ref="BV69:BV97" si="158">$C$16/($C$17-BV70*$C$18)</f>
        <v>0.2679491924311227</v>
      </c>
      <c r="BW69" s="10">
        <f t="shared" ref="BW69:BW97" si="159">$C$16/($C$17-BW70*$C$18)</f>
        <v>0.2679491924311227</v>
      </c>
      <c r="BX69" s="10">
        <f t="shared" ref="BX69:BX97" si="160">$C$16/($C$17-BX70*$C$18)</f>
        <v>0.2679491924311227</v>
      </c>
      <c r="BY69" s="10">
        <f t="shared" ref="BY69:BY97" si="161">$C$16/($C$17-BY70*$C$18)</f>
        <v>0.2679491924311227</v>
      </c>
      <c r="BZ69" s="10">
        <f t="shared" ref="BZ69:BZ97" si="162">$C$16/($C$17-BZ70*$C$18)</f>
        <v>0.2679491924311227</v>
      </c>
      <c r="CA69" s="10">
        <f t="shared" ref="CA69:CA97" si="163">$C$16/($C$17-CA70*$C$18)</f>
        <v>0.2679491924311227</v>
      </c>
      <c r="CB69" s="10">
        <f t="shared" ref="CB69:CB97" si="164">$C$16/($C$17-CB70*$C$18)</f>
        <v>0.2679491924311227</v>
      </c>
      <c r="CC69" s="10">
        <f t="shared" ref="CC69:CC97" si="165">$C$16/($C$17-CC70*$C$18)</f>
        <v>0.2679491924311227</v>
      </c>
      <c r="CD69" s="10">
        <f t="shared" ref="CD69:CD97" si="166">$C$16/($C$17-CD70*$C$18)</f>
        <v>0.2679491924311227</v>
      </c>
      <c r="CE69" s="10">
        <f t="shared" ref="CE69:CE97" si="167">$C$16/($C$17-CE70*$C$18)</f>
        <v>0.2679491924311227</v>
      </c>
      <c r="CF69" s="10">
        <f t="shared" ref="CF69:CF97" si="168">$C$16/($C$17-CF70*$C$18)</f>
        <v>0.2679491924311227</v>
      </c>
      <c r="CG69" s="10">
        <f t="shared" ref="CG69:CG97" si="169">$C$16/($C$17-CG70*$C$18)</f>
        <v>0.2679491924311227</v>
      </c>
      <c r="CH69" s="10">
        <f t="shared" ref="CH69:CH97" si="170">$C$16/($C$17-CH70*$C$18)</f>
        <v>0.2679491924311227</v>
      </c>
      <c r="CI69" s="10">
        <f t="shared" ref="CI69:CI97" si="171">$C$16/($C$17-CI70*$C$18)</f>
        <v>0.2679491924311227</v>
      </c>
      <c r="CJ69" s="10">
        <f t="shared" ref="CJ69:CJ97" si="172">$C$16/($C$17-CJ70*$C$18)</f>
        <v>0.2679491924311227</v>
      </c>
      <c r="CK69" s="10">
        <f t="shared" ref="CK69:CK97" si="173">$C$16/($C$17-CK70*$C$18)</f>
        <v>0.2679491924311227</v>
      </c>
      <c r="CL69" s="10">
        <f t="shared" ref="CL69:CL97" si="174">$C$16/($C$17-CL70*$C$18)</f>
        <v>0.2679491924311227</v>
      </c>
      <c r="CM69" s="10">
        <f t="shared" ref="CM69:CM97" si="175">$C$16/($C$17-CM70*$C$18)</f>
        <v>0.2679491924311227</v>
      </c>
      <c r="CN69" s="10">
        <f t="shared" ref="CN69:CN97" si="176">$C$16/($C$17-CN70*$C$18)</f>
        <v>0.2679491924311227</v>
      </c>
      <c r="CO69" s="10">
        <f t="shared" ref="CO69:CO97" si="177">$C$16/($C$17-CO70*$C$18)</f>
        <v>0.2679491924311227</v>
      </c>
      <c r="CP69" s="10">
        <f t="shared" ref="CP69:CP97" si="178">$C$16/($C$17-CP70*$C$18)</f>
        <v>0.2679491924311227</v>
      </c>
      <c r="CQ69" s="10">
        <f t="shared" ref="CQ69:CQ97" si="179">$C$16/($C$17-CQ70*$C$18)</f>
        <v>0.2679491924311227</v>
      </c>
      <c r="CR69" s="10">
        <f t="shared" ref="CR69:CR97" si="180">$C$16/($C$17-CR70*$C$18)</f>
        <v>0.2679491924311227</v>
      </c>
      <c r="CS69" s="10">
        <f t="shared" ref="CS69:CS97" si="181">$C$16/($C$17-CS70*$C$18)</f>
        <v>0.2679491924311227</v>
      </c>
      <c r="CT69" s="10">
        <f t="shared" ref="CT69:CT97" si="182">$C$16/($C$17-CT70*$C$18)</f>
        <v>0.2679491924311227</v>
      </c>
      <c r="CU69" s="10">
        <f t="shared" ref="CU69:CU97" si="183">$C$16/($C$17-CU70*$C$18)</f>
        <v>0.2679491924311227</v>
      </c>
      <c r="CV69" s="10">
        <f t="shared" ref="CV69:CV97" si="184">$C$16/($C$17-CV70*$C$18)</f>
        <v>0.2679491924311227</v>
      </c>
      <c r="CW69" s="10">
        <f t="shared" ref="CW69:CW97" si="185">$C$16/($C$17-CW70*$C$18)</f>
        <v>0.2679491924311227</v>
      </c>
      <c r="CX69" s="10">
        <f t="shared" ref="CX69:CX97" si="186">$C$16/($C$17-CX70*$C$18)</f>
        <v>0.2679491924311227</v>
      </c>
      <c r="CY69" s="10">
        <f t="shared" ref="CY69:CY97" si="187">$C$16/($C$17-CY70*$C$18)</f>
        <v>0.2679491924311227</v>
      </c>
      <c r="DB69" s="17" t="s">
        <v>20</v>
      </c>
      <c r="DC69" s="10">
        <f t="shared" ref="DC69:DC97" si="188">(DC70*$C$18-AN69)/($C$17-$C$18*BU70)</f>
        <v>219.6152422706632</v>
      </c>
      <c r="DD69" s="10">
        <f t="shared" ref="DD69:DD97" si="189">(DD70*$C$18-AO69)/($C$17-$C$18*BV70)</f>
        <v>205.18250342611003</v>
      </c>
      <c r="DE69" s="10">
        <f t="shared" ref="DE69:DE97" si="190">(DE70*$C$18-AP69)/($C$17-$C$18*BW70)</f>
        <v>190.87182594869876</v>
      </c>
      <c r="DF69" s="10">
        <f t="shared" ref="DF69:DF97" si="191">(DF70*$C$18-AQ69)/($C$17-$C$18*BX70)</f>
        <v>176.80305991527317</v>
      </c>
      <c r="DG69" s="10">
        <f t="shared" ref="DG69:DG97" si="192">(DG70*$C$18-AR69)/($C$17-$C$18*BY70)</f>
        <v>163.09170647883548</v>
      </c>
      <c r="DH69" s="10">
        <f t="shared" ref="DH69:DH97" si="193">(DH70*$C$18-AS69)/($C$17-$C$18*BZ70)</f>
        <v>149.84692345751355</v>
      </c>
      <c r="DI69" s="10">
        <f t="shared" ref="DI69:DI97" si="194">(DI70*$C$18-AT69)/($C$17-$C$18*CA70)</f>
        <v>137.16973583241915</v>
      </c>
      <c r="DJ69" s="10">
        <f t="shared" ref="DJ69:DJ97" si="195">(DJ70*$C$18-AU69)/($C$17-$C$18*CB70)</f>
        <v>125.15150175171841</v>
      </c>
      <c r="DK69" s="10">
        <f t="shared" ref="DK69:DK97" si="196">(DK70*$C$18-AV69)/($C$17-$C$18*CC70)</f>
        <v>113.87267114383326</v>
      </c>
      <c r="DL69" s="10">
        <f t="shared" ref="DL69:DL97" si="197">(DL70*$C$18-AW69)/($C$17-$C$18*CD70)</f>
        <v>103.40185910346634</v>
      </c>
      <c r="DM69" s="10">
        <f t="shared" ref="DM69:DM97" si="198">(DM70*$C$18-AX69)/($C$17-$C$18*CE70)</f>
        <v>93.795240865179352</v>
      </c>
      <c r="DN69" s="10">
        <f t="shared" ref="DN69:DN97" si="199">(DN70*$C$18-AY69)/($C$17-$C$18*CF70)</f>
        <v>85.096260444096131</v>
      </c>
      <c r="DO69" s="10">
        <f t="shared" ref="DO69:DO97" si="200">(DO70*$C$18-AZ69)/($C$17-$C$18*CG70)</f>
        <v>77.335631831565465</v>
      </c>
      <c r="DP69" s="10">
        <f t="shared" ref="DP69:DP97" si="201">(DP70*$C$18-BA69)/($C$17-$C$18*CH70)</f>
        <v>70.53160074970755</v>
      </c>
      <c r="DQ69" s="10">
        <f t="shared" ref="DQ69:DQ97" si="202">(DQ70*$C$18-BB69)/($C$17-$C$18*CI70)</f>
        <v>64.690426937975829</v>
      </c>
      <c r="DR69" s="10">
        <f t="shared" ref="DR69:DR97" si="203">(DR70*$C$18-BC69)/($C$17-$C$18*CJ70)</f>
        <v>59.807042061062354</v>
      </c>
      <c r="DS69" s="10">
        <f t="shared" ref="DS69:DS97" si="204">(DS70*$C$18-BD69)/($C$17-$C$18*CK70)</f>
        <v>55.865836624475477</v>
      </c>
      <c r="DT69" s="10">
        <f t="shared" ref="DT69:DT97" si="205">(DT70*$C$18-BE69)/($C$17-$C$18*CL70)</f>
        <v>52.841530550446045</v>
      </c>
      <c r="DU69" s="10">
        <f t="shared" ref="DU69:DU97" si="206">(DU70*$C$18-BF69)/($C$17-$C$18*CM70)</f>
        <v>50.700085881232376</v>
      </c>
      <c r="DV69" s="10">
        <f t="shared" ref="DV69:DV97" si="207">(DV70*$C$18-BG69)/($C$17-$C$18*CN70)</f>
        <v>49.399625860435073</v>
      </c>
      <c r="DW69" s="10">
        <f t="shared" ref="DW69:DW97" si="208">(DW70*$C$18-BH69)/($C$17-$C$18*CO70)</f>
        <v>48.891331721610996</v>
      </c>
      <c r="DX69" s="10">
        <f t="shared" ref="DX69:DX97" si="209">(DX70*$C$18-BI69)/($C$17-$C$18*CP70)</f>
        <v>49.120296185261623</v>
      </c>
      <c r="DY69" s="10">
        <f t="shared" ref="DY69:DY97" si="210">(DY70*$C$18-BJ69)/($C$17-$C$18*CQ70)</f>
        <v>50.026320264786243</v>
      </c>
      <c r="DZ69" s="10">
        <f t="shared" ref="DZ69:DZ97" si="211">(DZ70*$C$18-BK69)/($C$17-$C$18*CR70)</f>
        <v>51.544646937009887</v>
      </c>
      <c r="EA69" s="10">
        <f t="shared" ref="EA69:EA97" si="212">(EA70*$C$18-BL69)/($C$17-$C$18*CS70)</f>
        <v>53.606631107747369</v>
      </c>
      <c r="EB69" s="10">
        <f t="shared" ref="EB69:EB97" si="213">(EB70*$C$18-BM69)/($C$17-$C$18*CT70)</f>
        <v>56.14034982540845</v>
      </c>
      <c r="EC69" s="10">
        <f t="shared" ref="EC69:EC97" si="214">(EC70*$C$18-BN69)/($C$17-$C$18*CU70)</f>
        <v>59.071159766159916</v>
      </c>
      <c r="ED69" s="10">
        <f t="shared" ref="ED69:ED97" si="215">(ED70*$C$18-BO69)/($C$17-$C$18*CV70)</f>
        <v>62.32221069634015</v>
      </c>
      <c r="EE69" s="10">
        <f t="shared" ref="EE69:EE97" si="216">(EE70*$C$18-BP69)/($C$17-$C$18*CW70)</f>
        <v>65.814924113743757</v>
      </c>
      <c r="EF69" s="10">
        <f t="shared" ref="EF69:EF97" si="217">(EF70*$C$18-BQ69)/($C$17-$C$18*CX70)</f>
        <v>69.469445881796943</v>
      </c>
      <c r="EG69" s="10">
        <f t="shared" ref="EG69:EG97" si="218">(EG70*$C$18-BR69)/($C$17-$C$18*CY70)</f>
        <v>73.205080756887725</v>
      </c>
    </row>
    <row r="70" spans="6:137" x14ac:dyDescent="0.3">
      <c r="F70" s="17"/>
      <c r="G70" s="3">
        <v>300</v>
      </c>
      <c r="H70" s="2">
        <f t="shared" ref="H70:AI79" si="219">BV70*H69+DD70</f>
        <v>280.28451209215393</v>
      </c>
      <c r="I70" s="2">
        <f t="shared" si="219"/>
        <v>260.73576311264429</v>
      </c>
      <c r="J70" s="2">
        <f t="shared" si="219"/>
        <v>241.51747131108533</v>
      </c>
      <c r="K70" s="2">
        <f t="shared" si="219"/>
        <v>222.78741419664436</v>
      </c>
      <c r="L70" s="2">
        <f t="shared" si="219"/>
        <v>204.69470412190583</v>
      </c>
      <c r="M70" s="2">
        <f t="shared" si="219"/>
        <v>187.37734377748515</v>
      </c>
      <c r="N70" s="2">
        <f t="shared" si="219"/>
        <v>170.96013071462002</v>
      </c>
      <c r="O70" s="2">
        <f t="shared" si="219"/>
        <v>155.55296157926742</v>
      </c>
      <c r="P70" s="2">
        <f t="shared" si="219"/>
        <v>141.24956633387424</v>
      </c>
      <c r="Q70" s="2">
        <f t="shared" si="219"/>
        <v>128.1266817759153</v>
      </c>
      <c r="R70" s="2">
        <f t="shared" si="219"/>
        <v>116.24365353369217</v>
      </c>
      <c r="S70" s="2">
        <f t="shared" si="219"/>
        <v>105.6424376996389</v>
      </c>
      <c r="T70" s="2">
        <f t="shared" si="219"/>
        <v>96.347958393682077</v>
      </c>
      <c r="U70" s="2">
        <f t="shared" si="219"/>
        <v>88.36876657893616</v>
      </c>
      <c r="V70" s="2">
        <f t="shared" si="219"/>
        <v>81.697938780615601</v>
      </c>
      <c r="W70" s="2">
        <f t="shared" si="219"/>
        <v>76.314152032704598</v>
      </c>
      <c r="X70" s="2">
        <f t="shared" si="219"/>
        <v>72.182873106760809</v>
      </c>
      <c r="Y70" s="2">
        <f t="shared" si="219"/>
        <v>69.257605287816176</v>
      </c>
      <c r="Z70" s="2">
        <f t="shared" si="219"/>
        <v>67.481143862801019</v>
      </c>
      <c r="AA70" s="2">
        <f t="shared" si="219"/>
        <v>66.786801156572594</v>
      </c>
      <c r="AB70" s="2">
        <f t="shared" si="219"/>
        <v>67.099572430483235</v>
      </c>
      <c r="AC70" s="2">
        <f t="shared" si="219"/>
        <v>68.337224339554268</v>
      </c>
      <c r="AD70" s="2">
        <f t="shared" si="219"/>
        <v>70.411297145055258</v>
      </c>
      <c r="AE70" s="2">
        <f t="shared" si="219"/>
        <v>73.228019904484043</v>
      </c>
      <c r="AF70" s="2">
        <f t="shared" si="219"/>
        <v>76.689144038853215</v>
      </c>
      <c r="AG70" s="2">
        <f t="shared" si="219"/>
        <v>80.692704871583686</v>
      </c>
      <c r="AH70" s="2">
        <f t="shared" si="219"/>
        <v>85.133723031206912</v>
      </c>
      <c r="AI70" s="2">
        <f t="shared" si="219"/>
        <v>89.904858287519005</v>
      </c>
      <c r="AJ70" s="2">
        <f>CX70*AJ69+EF70</f>
        <v>94.897027861362872</v>
      </c>
      <c r="AK70" s="2">
        <v>100</v>
      </c>
      <c r="AM70" s="17"/>
      <c r="AN70" s="10">
        <f t="shared" ref="AN70:AN99" si="220">-($B$9*$B$8*G36)/$B$6</f>
        <v>-2483999999.9999995</v>
      </c>
      <c r="AO70" s="10">
        <f t="shared" si="156"/>
        <v>-2320755760.123034</v>
      </c>
      <c r="AP70" s="10">
        <f t="shared" si="156"/>
        <v>-2158892118.5726943</v>
      </c>
      <c r="AQ70" s="10">
        <f t="shared" si="156"/>
        <v>-1999764662.4557862</v>
      </c>
      <c r="AR70" s="10">
        <f t="shared" si="156"/>
        <v>-1844679789.5482149</v>
      </c>
      <c r="AS70" s="10">
        <f t="shared" si="156"/>
        <v>-1694872150.12938</v>
      </c>
      <c r="AT70" s="10">
        <f t="shared" si="156"/>
        <v>-1551484406.4775767</v>
      </c>
      <c r="AU70" s="10">
        <f t="shared" si="156"/>
        <v>-1415549882.3170536</v>
      </c>
      <c r="AV70" s="10">
        <f t="shared" si="156"/>
        <v>-1287978521.876334</v>
      </c>
      <c r="AW70" s="10">
        <f t="shared" si="156"/>
        <v>-1169546409.2444785</v>
      </c>
      <c r="AX70" s="10">
        <f t="shared" si="156"/>
        <v>-1060888925.1045785</v>
      </c>
      <c r="AY70" s="10">
        <f t="shared" si="156"/>
        <v>-962497451.25897086</v>
      </c>
      <c r="AZ70" s="10">
        <f t="shared" si="156"/>
        <v>-874719384.15301001</v>
      </c>
      <c r="BA70" s="10">
        <f t="shared" si="156"/>
        <v>-797761095.49968731</v>
      </c>
      <c r="BB70" s="10">
        <f t="shared" si="156"/>
        <v>-731693387.27359128</v>
      </c>
      <c r="BC70" s="10">
        <f t="shared" si="156"/>
        <v>-676458933.10349703</v>
      </c>
      <c r="BD70" s="10">
        <f t="shared" si="156"/>
        <v>-631881178.83079386</v>
      </c>
      <c r="BE70" s="10">
        <f t="shared" si="156"/>
        <v>-597674189.32397938</v>
      </c>
      <c r="BF70" s="10">
        <f t="shared" si="156"/>
        <v>-573452971.78311777</v>
      </c>
      <c r="BG70" s="10">
        <f t="shared" si="156"/>
        <v>-558743871.18399227</v>
      </c>
      <c r="BH70" s="10">
        <f t="shared" si="156"/>
        <v>-552994713.5764209</v>
      </c>
      <c r="BI70" s="10">
        <f t="shared" si="156"/>
        <v>-555584459.724401</v>
      </c>
      <c r="BJ70" s="10">
        <f t="shared" si="156"/>
        <v>-565832217.53150928</v>
      </c>
      <c r="BK70" s="10">
        <f t="shared" si="156"/>
        <v>-583005540.3610574</v>
      </c>
      <c r="BL70" s="10">
        <f t="shared" si="156"/>
        <v>-606328004.80912781</v>
      </c>
      <c r="BM70" s="10">
        <f t="shared" si="156"/>
        <v>-634986112.64170444</v>
      </c>
      <c r="BN70" s="10">
        <f t="shared" si="156"/>
        <v>-668135596.33671284</v>
      </c>
      <c r="BO70" s="10">
        <f t="shared" si="156"/>
        <v>-704907226.69839311</v>
      </c>
      <c r="BP70" s="10">
        <f t="shared" si="156"/>
        <v>-744412226.62065721</v>
      </c>
      <c r="BQ70" s="10">
        <f t="shared" si="156"/>
        <v>-785747390.69208455</v>
      </c>
      <c r="BR70" s="10">
        <f t="shared" si="156"/>
        <v>-827999999.99999988</v>
      </c>
      <c r="BT70" s="17"/>
      <c r="BU70" s="10">
        <f t="shared" si="157"/>
        <v>0.2679491924311227</v>
      </c>
      <c r="BV70" s="10">
        <f t="shared" si="158"/>
        <v>0.2679491924311227</v>
      </c>
      <c r="BW70" s="10">
        <f t="shared" si="159"/>
        <v>0.2679491924311227</v>
      </c>
      <c r="BX70" s="10">
        <f t="shared" si="160"/>
        <v>0.2679491924311227</v>
      </c>
      <c r="BY70" s="10">
        <f t="shared" si="161"/>
        <v>0.2679491924311227</v>
      </c>
      <c r="BZ70" s="10">
        <f t="shared" si="162"/>
        <v>0.2679491924311227</v>
      </c>
      <c r="CA70" s="10">
        <f t="shared" si="163"/>
        <v>0.2679491924311227</v>
      </c>
      <c r="CB70" s="10">
        <f t="shared" si="164"/>
        <v>0.2679491924311227</v>
      </c>
      <c r="CC70" s="10">
        <f t="shared" si="165"/>
        <v>0.2679491924311227</v>
      </c>
      <c r="CD70" s="10">
        <f t="shared" si="166"/>
        <v>0.2679491924311227</v>
      </c>
      <c r="CE70" s="10">
        <f t="shared" si="167"/>
        <v>0.2679491924311227</v>
      </c>
      <c r="CF70" s="10">
        <f t="shared" si="168"/>
        <v>0.2679491924311227</v>
      </c>
      <c r="CG70" s="10">
        <f t="shared" si="169"/>
        <v>0.2679491924311227</v>
      </c>
      <c r="CH70" s="10">
        <f t="shared" si="170"/>
        <v>0.2679491924311227</v>
      </c>
      <c r="CI70" s="10">
        <f t="shared" si="171"/>
        <v>0.2679491924311227</v>
      </c>
      <c r="CJ70" s="10">
        <f t="shared" si="172"/>
        <v>0.2679491924311227</v>
      </c>
      <c r="CK70" s="10">
        <f t="shared" si="173"/>
        <v>0.2679491924311227</v>
      </c>
      <c r="CL70" s="10">
        <f t="shared" si="174"/>
        <v>0.2679491924311227</v>
      </c>
      <c r="CM70" s="10">
        <f t="shared" si="175"/>
        <v>0.2679491924311227</v>
      </c>
      <c r="CN70" s="10">
        <f t="shared" si="176"/>
        <v>0.2679491924311227</v>
      </c>
      <c r="CO70" s="10">
        <f t="shared" si="177"/>
        <v>0.2679491924311227</v>
      </c>
      <c r="CP70" s="10">
        <f t="shared" si="178"/>
        <v>0.2679491924311227</v>
      </c>
      <c r="CQ70" s="10">
        <f t="shared" si="179"/>
        <v>0.2679491924311227</v>
      </c>
      <c r="CR70" s="10">
        <f t="shared" si="180"/>
        <v>0.2679491924311227</v>
      </c>
      <c r="CS70" s="10">
        <f t="shared" si="181"/>
        <v>0.2679491924311227</v>
      </c>
      <c r="CT70" s="10">
        <f t="shared" si="182"/>
        <v>0.2679491924311227</v>
      </c>
      <c r="CU70" s="10">
        <f t="shared" si="183"/>
        <v>0.2679491924311227</v>
      </c>
      <c r="CV70" s="10">
        <f t="shared" si="184"/>
        <v>0.2679491924311227</v>
      </c>
      <c r="CW70" s="10">
        <f t="shared" si="185"/>
        <v>0.2679491924311227</v>
      </c>
      <c r="CX70" s="10">
        <f t="shared" si="186"/>
        <v>0.2679491924311227</v>
      </c>
      <c r="CY70" s="10">
        <f t="shared" si="187"/>
        <v>0.2679491924311227</v>
      </c>
      <c r="DB70" s="17"/>
      <c r="DC70" s="10">
        <f t="shared" si="188"/>
        <v>219.6152422706632</v>
      </c>
      <c r="DD70" s="10">
        <f t="shared" si="189"/>
        <v>205.18250342611003</v>
      </c>
      <c r="DE70" s="10">
        <f t="shared" si="190"/>
        <v>190.87182594869876</v>
      </c>
      <c r="DF70" s="10">
        <f t="shared" si="191"/>
        <v>176.80305991527317</v>
      </c>
      <c r="DG70" s="10">
        <f t="shared" si="192"/>
        <v>163.09170647883548</v>
      </c>
      <c r="DH70" s="10">
        <f t="shared" si="193"/>
        <v>149.84692345751355</v>
      </c>
      <c r="DI70" s="10">
        <f t="shared" si="194"/>
        <v>137.16973583241915</v>
      </c>
      <c r="DJ70" s="10">
        <f t="shared" si="195"/>
        <v>125.15150175171841</v>
      </c>
      <c r="DK70" s="10">
        <f t="shared" si="196"/>
        <v>113.87267114383326</v>
      </c>
      <c r="DL70" s="10">
        <f t="shared" si="197"/>
        <v>103.40185910346634</v>
      </c>
      <c r="DM70" s="10">
        <f t="shared" si="198"/>
        <v>93.795240865179352</v>
      </c>
      <c r="DN70" s="10">
        <f t="shared" si="199"/>
        <v>85.096260444096131</v>
      </c>
      <c r="DO70" s="10">
        <f t="shared" si="200"/>
        <v>77.335631831565465</v>
      </c>
      <c r="DP70" s="10">
        <f t="shared" si="201"/>
        <v>70.53160074970755</v>
      </c>
      <c r="DQ70" s="10">
        <f t="shared" si="202"/>
        <v>64.690426937975829</v>
      </c>
      <c r="DR70" s="10">
        <f t="shared" si="203"/>
        <v>59.807042061062354</v>
      </c>
      <c r="DS70" s="10">
        <f t="shared" si="204"/>
        <v>55.865836624475477</v>
      </c>
      <c r="DT70" s="10">
        <f t="shared" si="205"/>
        <v>52.841530550446045</v>
      </c>
      <c r="DU70" s="10">
        <f t="shared" si="206"/>
        <v>50.700085881232376</v>
      </c>
      <c r="DV70" s="10">
        <f t="shared" si="207"/>
        <v>49.399625860435073</v>
      </c>
      <c r="DW70" s="10">
        <f t="shared" si="208"/>
        <v>48.891331721610996</v>
      </c>
      <c r="DX70" s="10">
        <f t="shared" si="209"/>
        <v>49.120296185261623</v>
      </c>
      <c r="DY70" s="10">
        <f t="shared" si="210"/>
        <v>50.026320264786243</v>
      </c>
      <c r="DZ70" s="10">
        <f t="shared" si="211"/>
        <v>51.544646937009887</v>
      </c>
      <c r="EA70" s="10">
        <f t="shared" si="212"/>
        <v>53.606631107747369</v>
      </c>
      <c r="EB70" s="10">
        <f t="shared" si="213"/>
        <v>56.14034982540845</v>
      </c>
      <c r="EC70" s="10">
        <f t="shared" si="214"/>
        <v>59.071159766159916</v>
      </c>
      <c r="ED70" s="10">
        <f t="shared" si="215"/>
        <v>62.32221069634015</v>
      </c>
      <c r="EE70" s="10">
        <f t="shared" si="216"/>
        <v>65.814924113743757</v>
      </c>
      <c r="EF70" s="10">
        <f t="shared" si="217"/>
        <v>69.469445881796943</v>
      </c>
      <c r="EG70" s="10">
        <f t="shared" si="218"/>
        <v>73.205080756887725</v>
      </c>
    </row>
    <row r="71" spans="6:137" x14ac:dyDescent="0.3">
      <c r="F71" s="17"/>
      <c r="G71" s="3">
        <v>300</v>
      </c>
      <c r="H71" s="2">
        <f t="shared" si="219"/>
        <v>280.28451209215393</v>
      </c>
      <c r="I71" s="2">
        <f t="shared" si="219"/>
        <v>260.73576311264429</v>
      </c>
      <c r="J71" s="2">
        <f t="shared" si="219"/>
        <v>241.51747131108533</v>
      </c>
      <c r="K71" s="2">
        <f t="shared" si="219"/>
        <v>222.78741419664436</v>
      </c>
      <c r="L71" s="2">
        <f t="shared" si="219"/>
        <v>204.69470412190583</v>
      </c>
      <c r="M71" s="2">
        <f t="shared" si="219"/>
        <v>187.37734377748515</v>
      </c>
      <c r="N71" s="2">
        <f t="shared" si="219"/>
        <v>170.96013071462002</v>
      </c>
      <c r="O71" s="2">
        <f t="shared" si="219"/>
        <v>155.55296157926742</v>
      </c>
      <c r="P71" s="2">
        <f t="shared" si="219"/>
        <v>141.24956633387424</v>
      </c>
      <c r="Q71" s="2">
        <f t="shared" si="219"/>
        <v>128.1266817759153</v>
      </c>
      <c r="R71" s="2">
        <f t="shared" si="219"/>
        <v>116.24365353369217</v>
      </c>
      <c r="S71" s="2">
        <f t="shared" si="219"/>
        <v>105.6424376996389</v>
      </c>
      <c r="T71" s="2">
        <f t="shared" si="219"/>
        <v>96.347958393682077</v>
      </c>
      <c r="U71" s="2">
        <f t="shared" si="219"/>
        <v>88.36876657893616</v>
      </c>
      <c r="V71" s="2">
        <f t="shared" si="219"/>
        <v>81.697938780615601</v>
      </c>
      <c r="W71" s="2">
        <f t="shared" si="219"/>
        <v>76.314152032704598</v>
      </c>
      <c r="X71" s="2">
        <f t="shared" si="219"/>
        <v>72.182873106760809</v>
      </c>
      <c r="Y71" s="2">
        <f t="shared" si="219"/>
        <v>69.257605287816176</v>
      </c>
      <c r="Z71" s="2">
        <f t="shared" si="219"/>
        <v>67.481143862801019</v>
      </c>
      <c r="AA71" s="2">
        <f t="shared" si="219"/>
        <v>66.786801156572594</v>
      </c>
      <c r="AB71" s="2">
        <f t="shared" si="219"/>
        <v>67.099572430483235</v>
      </c>
      <c r="AC71" s="2">
        <f t="shared" si="219"/>
        <v>68.337224339554268</v>
      </c>
      <c r="AD71" s="2">
        <f t="shared" si="219"/>
        <v>70.411297145055258</v>
      </c>
      <c r="AE71" s="2">
        <f t="shared" si="219"/>
        <v>73.228019904484043</v>
      </c>
      <c r="AF71" s="2">
        <f t="shared" si="219"/>
        <v>76.689144038853215</v>
      </c>
      <c r="AG71" s="2">
        <f t="shared" si="219"/>
        <v>80.692704871583686</v>
      </c>
      <c r="AH71" s="2">
        <f t="shared" si="219"/>
        <v>85.133723031206912</v>
      </c>
      <c r="AI71" s="2">
        <f t="shared" si="219"/>
        <v>89.904858287519005</v>
      </c>
      <c r="AJ71" s="2">
        <f t="shared" ref="AJ71:AJ99" si="221">CX71*AJ70+EF71</f>
        <v>94.897027861362872</v>
      </c>
      <c r="AK71" s="2">
        <v>100</v>
      </c>
      <c r="AM71" s="17"/>
      <c r="AN71" s="10">
        <f t="shared" si="220"/>
        <v>-2483999999.9999995</v>
      </c>
      <c r="AO71" s="10">
        <f t="shared" si="156"/>
        <v>-2320755760.123034</v>
      </c>
      <c r="AP71" s="10">
        <f t="shared" si="156"/>
        <v>-2158892118.5726943</v>
      </c>
      <c r="AQ71" s="10">
        <f t="shared" si="156"/>
        <v>-1999764662.4557862</v>
      </c>
      <c r="AR71" s="10">
        <f t="shared" si="156"/>
        <v>-1844679789.5482149</v>
      </c>
      <c r="AS71" s="10">
        <f t="shared" si="156"/>
        <v>-1694872150.12938</v>
      </c>
      <c r="AT71" s="10">
        <f t="shared" si="156"/>
        <v>-1551484406.4775767</v>
      </c>
      <c r="AU71" s="10">
        <f t="shared" si="156"/>
        <v>-1415549882.3170536</v>
      </c>
      <c r="AV71" s="10">
        <f t="shared" si="156"/>
        <v>-1287978521.876334</v>
      </c>
      <c r="AW71" s="10">
        <f t="shared" si="156"/>
        <v>-1169546409.2444785</v>
      </c>
      <c r="AX71" s="10">
        <f t="shared" si="156"/>
        <v>-1060888925.1045785</v>
      </c>
      <c r="AY71" s="10">
        <f t="shared" si="156"/>
        <v>-962497451.25897086</v>
      </c>
      <c r="AZ71" s="10">
        <f t="shared" si="156"/>
        <v>-874719384.15301001</v>
      </c>
      <c r="BA71" s="10">
        <f t="shared" si="156"/>
        <v>-797761095.49968731</v>
      </c>
      <c r="BB71" s="10">
        <f t="shared" si="156"/>
        <v>-731693387.27359128</v>
      </c>
      <c r="BC71" s="10">
        <f t="shared" si="156"/>
        <v>-676458933.10349703</v>
      </c>
      <c r="BD71" s="10">
        <f t="shared" si="156"/>
        <v>-631881178.83079386</v>
      </c>
      <c r="BE71" s="10">
        <f t="shared" si="156"/>
        <v>-597674189.32397938</v>
      </c>
      <c r="BF71" s="10">
        <f t="shared" si="156"/>
        <v>-573452971.78311777</v>
      </c>
      <c r="BG71" s="10">
        <f t="shared" si="156"/>
        <v>-558743871.18399227</v>
      </c>
      <c r="BH71" s="10">
        <f t="shared" si="156"/>
        <v>-552994713.5764209</v>
      </c>
      <c r="BI71" s="10">
        <f t="shared" si="156"/>
        <v>-555584459.724401</v>
      </c>
      <c r="BJ71" s="10">
        <f t="shared" si="156"/>
        <v>-565832217.53150928</v>
      </c>
      <c r="BK71" s="10">
        <f t="shared" si="156"/>
        <v>-583005540.3610574</v>
      </c>
      <c r="BL71" s="10">
        <f t="shared" si="156"/>
        <v>-606328004.80912781</v>
      </c>
      <c r="BM71" s="10">
        <f t="shared" si="156"/>
        <v>-634986112.64170444</v>
      </c>
      <c r="BN71" s="10">
        <f t="shared" si="156"/>
        <v>-668135596.33671284</v>
      </c>
      <c r="BO71" s="10">
        <f t="shared" si="156"/>
        <v>-704907226.69839311</v>
      </c>
      <c r="BP71" s="10">
        <f t="shared" si="156"/>
        <v>-744412226.62065721</v>
      </c>
      <c r="BQ71" s="10">
        <f t="shared" si="156"/>
        <v>-785747390.69208455</v>
      </c>
      <c r="BR71" s="10">
        <f t="shared" si="156"/>
        <v>-827999999.99999988</v>
      </c>
      <c r="BT71" s="17"/>
      <c r="BU71" s="10">
        <f t="shared" si="157"/>
        <v>0.2679491924311227</v>
      </c>
      <c r="BV71" s="10">
        <f t="shared" si="158"/>
        <v>0.2679491924311227</v>
      </c>
      <c r="BW71" s="10">
        <f t="shared" si="159"/>
        <v>0.2679491924311227</v>
      </c>
      <c r="BX71" s="10">
        <f t="shared" si="160"/>
        <v>0.2679491924311227</v>
      </c>
      <c r="BY71" s="10">
        <f t="shared" si="161"/>
        <v>0.2679491924311227</v>
      </c>
      <c r="BZ71" s="10">
        <f t="shared" si="162"/>
        <v>0.2679491924311227</v>
      </c>
      <c r="CA71" s="10">
        <f t="shared" si="163"/>
        <v>0.2679491924311227</v>
      </c>
      <c r="CB71" s="10">
        <f t="shared" si="164"/>
        <v>0.2679491924311227</v>
      </c>
      <c r="CC71" s="10">
        <f t="shared" si="165"/>
        <v>0.2679491924311227</v>
      </c>
      <c r="CD71" s="10">
        <f t="shared" si="166"/>
        <v>0.2679491924311227</v>
      </c>
      <c r="CE71" s="10">
        <f t="shared" si="167"/>
        <v>0.2679491924311227</v>
      </c>
      <c r="CF71" s="10">
        <f t="shared" si="168"/>
        <v>0.2679491924311227</v>
      </c>
      <c r="CG71" s="10">
        <f t="shared" si="169"/>
        <v>0.2679491924311227</v>
      </c>
      <c r="CH71" s="10">
        <f t="shared" si="170"/>
        <v>0.2679491924311227</v>
      </c>
      <c r="CI71" s="10">
        <f t="shared" si="171"/>
        <v>0.2679491924311227</v>
      </c>
      <c r="CJ71" s="10">
        <f t="shared" si="172"/>
        <v>0.2679491924311227</v>
      </c>
      <c r="CK71" s="10">
        <f t="shared" si="173"/>
        <v>0.2679491924311227</v>
      </c>
      <c r="CL71" s="10">
        <f t="shared" si="174"/>
        <v>0.2679491924311227</v>
      </c>
      <c r="CM71" s="10">
        <f t="shared" si="175"/>
        <v>0.2679491924311227</v>
      </c>
      <c r="CN71" s="10">
        <f t="shared" si="176"/>
        <v>0.2679491924311227</v>
      </c>
      <c r="CO71" s="10">
        <f t="shared" si="177"/>
        <v>0.2679491924311227</v>
      </c>
      <c r="CP71" s="10">
        <f t="shared" si="178"/>
        <v>0.2679491924311227</v>
      </c>
      <c r="CQ71" s="10">
        <f t="shared" si="179"/>
        <v>0.2679491924311227</v>
      </c>
      <c r="CR71" s="10">
        <f t="shared" si="180"/>
        <v>0.2679491924311227</v>
      </c>
      <c r="CS71" s="10">
        <f t="shared" si="181"/>
        <v>0.2679491924311227</v>
      </c>
      <c r="CT71" s="10">
        <f t="shared" si="182"/>
        <v>0.2679491924311227</v>
      </c>
      <c r="CU71" s="10">
        <f t="shared" si="183"/>
        <v>0.2679491924311227</v>
      </c>
      <c r="CV71" s="10">
        <f t="shared" si="184"/>
        <v>0.2679491924311227</v>
      </c>
      <c r="CW71" s="10">
        <f t="shared" si="185"/>
        <v>0.2679491924311227</v>
      </c>
      <c r="CX71" s="10">
        <f t="shared" si="186"/>
        <v>0.2679491924311227</v>
      </c>
      <c r="CY71" s="10">
        <f t="shared" si="187"/>
        <v>0.2679491924311227</v>
      </c>
      <c r="DB71" s="17"/>
      <c r="DC71" s="10">
        <f t="shared" si="188"/>
        <v>219.6152422706632</v>
      </c>
      <c r="DD71" s="10">
        <f t="shared" si="189"/>
        <v>205.18250342611003</v>
      </c>
      <c r="DE71" s="10">
        <f t="shared" si="190"/>
        <v>190.87182594869876</v>
      </c>
      <c r="DF71" s="10">
        <f t="shared" si="191"/>
        <v>176.80305991527317</v>
      </c>
      <c r="DG71" s="10">
        <f t="shared" si="192"/>
        <v>163.09170647883548</v>
      </c>
      <c r="DH71" s="10">
        <f t="shared" si="193"/>
        <v>149.84692345751355</v>
      </c>
      <c r="DI71" s="10">
        <f t="shared" si="194"/>
        <v>137.16973583241915</v>
      </c>
      <c r="DJ71" s="10">
        <f t="shared" si="195"/>
        <v>125.15150175171841</v>
      </c>
      <c r="DK71" s="10">
        <f t="shared" si="196"/>
        <v>113.87267114383326</v>
      </c>
      <c r="DL71" s="10">
        <f t="shared" si="197"/>
        <v>103.40185910346634</v>
      </c>
      <c r="DM71" s="10">
        <f t="shared" si="198"/>
        <v>93.795240865179352</v>
      </c>
      <c r="DN71" s="10">
        <f t="shared" si="199"/>
        <v>85.096260444096131</v>
      </c>
      <c r="DO71" s="10">
        <f t="shared" si="200"/>
        <v>77.335631831565465</v>
      </c>
      <c r="DP71" s="10">
        <f t="shared" si="201"/>
        <v>70.53160074970755</v>
      </c>
      <c r="DQ71" s="10">
        <f t="shared" si="202"/>
        <v>64.690426937975829</v>
      </c>
      <c r="DR71" s="10">
        <f t="shared" si="203"/>
        <v>59.807042061062354</v>
      </c>
      <c r="DS71" s="10">
        <f t="shared" si="204"/>
        <v>55.865836624475477</v>
      </c>
      <c r="DT71" s="10">
        <f t="shared" si="205"/>
        <v>52.841530550446045</v>
      </c>
      <c r="DU71" s="10">
        <f t="shared" si="206"/>
        <v>50.700085881232376</v>
      </c>
      <c r="DV71" s="10">
        <f t="shared" si="207"/>
        <v>49.399625860435073</v>
      </c>
      <c r="DW71" s="10">
        <f t="shared" si="208"/>
        <v>48.891331721610996</v>
      </c>
      <c r="DX71" s="10">
        <f t="shared" si="209"/>
        <v>49.120296185261623</v>
      </c>
      <c r="DY71" s="10">
        <f t="shared" si="210"/>
        <v>50.026320264786243</v>
      </c>
      <c r="DZ71" s="10">
        <f t="shared" si="211"/>
        <v>51.544646937009887</v>
      </c>
      <c r="EA71" s="10">
        <f t="shared" si="212"/>
        <v>53.606631107747369</v>
      </c>
      <c r="EB71" s="10">
        <f t="shared" si="213"/>
        <v>56.14034982540845</v>
      </c>
      <c r="EC71" s="10">
        <f t="shared" si="214"/>
        <v>59.071159766159916</v>
      </c>
      <c r="ED71" s="10">
        <f t="shared" si="215"/>
        <v>62.32221069634015</v>
      </c>
      <c r="EE71" s="10">
        <f t="shared" si="216"/>
        <v>65.814924113743757</v>
      </c>
      <c r="EF71" s="10">
        <f t="shared" si="217"/>
        <v>69.469445881796943</v>
      </c>
      <c r="EG71" s="10">
        <f t="shared" si="218"/>
        <v>73.205080756887725</v>
      </c>
    </row>
    <row r="72" spans="6:137" x14ac:dyDescent="0.3">
      <c r="F72" s="17"/>
      <c r="G72" s="3">
        <v>300</v>
      </c>
      <c r="H72" s="2">
        <f t="shared" si="219"/>
        <v>280.28451209215393</v>
      </c>
      <c r="I72" s="2">
        <f t="shared" si="219"/>
        <v>260.73576311264429</v>
      </c>
      <c r="J72" s="2">
        <f t="shared" si="219"/>
        <v>241.51747131108533</v>
      </c>
      <c r="K72" s="2">
        <f t="shared" si="219"/>
        <v>222.78741419664436</v>
      </c>
      <c r="L72" s="2">
        <f t="shared" si="219"/>
        <v>204.69470412190583</v>
      </c>
      <c r="M72" s="2">
        <f t="shared" si="219"/>
        <v>187.37734377748515</v>
      </c>
      <c r="N72" s="2">
        <f t="shared" si="219"/>
        <v>170.96013071462002</v>
      </c>
      <c r="O72" s="2">
        <f t="shared" si="219"/>
        <v>155.55296157926742</v>
      </c>
      <c r="P72" s="2">
        <f t="shared" si="219"/>
        <v>141.24956633387424</v>
      </c>
      <c r="Q72" s="2">
        <f t="shared" si="219"/>
        <v>128.1266817759153</v>
      </c>
      <c r="R72" s="2">
        <f t="shared" si="219"/>
        <v>116.24365353369217</v>
      </c>
      <c r="S72" s="2">
        <f t="shared" si="219"/>
        <v>105.6424376996389</v>
      </c>
      <c r="T72" s="2">
        <f t="shared" si="219"/>
        <v>96.347958393682077</v>
      </c>
      <c r="U72" s="2">
        <f t="shared" si="219"/>
        <v>88.36876657893616</v>
      </c>
      <c r="V72" s="2">
        <f t="shared" si="219"/>
        <v>81.697938780615601</v>
      </c>
      <c r="W72" s="2">
        <f t="shared" si="219"/>
        <v>76.314152032704598</v>
      </c>
      <c r="X72" s="2">
        <f t="shared" si="219"/>
        <v>72.182873106760809</v>
      </c>
      <c r="Y72" s="2">
        <f t="shared" si="219"/>
        <v>69.257605287816176</v>
      </c>
      <c r="Z72" s="2">
        <f t="shared" si="219"/>
        <v>67.481143862801019</v>
      </c>
      <c r="AA72" s="2">
        <f t="shared" si="219"/>
        <v>66.786801156572594</v>
      </c>
      <c r="AB72" s="2">
        <f t="shared" si="219"/>
        <v>67.099572430483235</v>
      </c>
      <c r="AC72" s="2">
        <f t="shared" si="219"/>
        <v>68.337224339554268</v>
      </c>
      <c r="AD72" s="2">
        <f t="shared" si="219"/>
        <v>70.411297145055258</v>
      </c>
      <c r="AE72" s="2">
        <f t="shared" si="219"/>
        <v>73.228019904484043</v>
      </c>
      <c r="AF72" s="2">
        <f t="shared" si="219"/>
        <v>76.689144038853215</v>
      </c>
      <c r="AG72" s="2">
        <f t="shared" si="219"/>
        <v>80.692704871583686</v>
      </c>
      <c r="AH72" s="2">
        <f t="shared" si="219"/>
        <v>85.133723031206912</v>
      </c>
      <c r="AI72" s="2">
        <f t="shared" si="219"/>
        <v>89.904858287519005</v>
      </c>
      <c r="AJ72" s="2">
        <f t="shared" si="221"/>
        <v>94.897027861362872</v>
      </c>
      <c r="AK72" s="2">
        <v>100</v>
      </c>
      <c r="AM72" s="17"/>
      <c r="AN72" s="10">
        <f t="shared" si="220"/>
        <v>-2483999999.9999995</v>
      </c>
      <c r="AO72" s="10">
        <f t="shared" si="156"/>
        <v>-2320755760.123034</v>
      </c>
      <c r="AP72" s="10">
        <f t="shared" si="156"/>
        <v>-2158892118.5726943</v>
      </c>
      <c r="AQ72" s="10">
        <f t="shared" si="156"/>
        <v>-1999764662.4557862</v>
      </c>
      <c r="AR72" s="10">
        <f t="shared" si="156"/>
        <v>-1844679789.5482149</v>
      </c>
      <c r="AS72" s="10">
        <f t="shared" si="156"/>
        <v>-1694872150.12938</v>
      </c>
      <c r="AT72" s="10">
        <f t="shared" si="156"/>
        <v>-1551484406.4775767</v>
      </c>
      <c r="AU72" s="10">
        <f t="shared" si="156"/>
        <v>-1415549882.3170536</v>
      </c>
      <c r="AV72" s="10">
        <f t="shared" si="156"/>
        <v>-1287978521.876334</v>
      </c>
      <c r="AW72" s="10">
        <f t="shared" si="156"/>
        <v>-1169546409.2444785</v>
      </c>
      <c r="AX72" s="10">
        <f t="shared" si="156"/>
        <v>-1060888925.1045785</v>
      </c>
      <c r="AY72" s="10">
        <f t="shared" si="156"/>
        <v>-962497451.25897086</v>
      </c>
      <c r="AZ72" s="10">
        <f t="shared" si="156"/>
        <v>-874719384.15301001</v>
      </c>
      <c r="BA72" s="10">
        <f t="shared" si="156"/>
        <v>-797761095.49968731</v>
      </c>
      <c r="BB72" s="10">
        <f t="shared" si="156"/>
        <v>-731693387.27359128</v>
      </c>
      <c r="BC72" s="10">
        <f t="shared" si="156"/>
        <v>-676458933.10349703</v>
      </c>
      <c r="BD72" s="10">
        <f t="shared" si="156"/>
        <v>-631881178.83079386</v>
      </c>
      <c r="BE72" s="10">
        <f t="shared" si="156"/>
        <v>-597674189.32397938</v>
      </c>
      <c r="BF72" s="10">
        <f t="shared" si="156"/>
        <v>-573452971.78311777</v>
      </c>
      <c r="BG72" s="10">
        <f t="shared" si="156"/>
        <v>-558743871.18399227</v>
      </c>
      <c r="BH72" s="10">
        <f t="shared" si="156"/>
        <v>-552994713.5764209</v>
      </c>
      <c r="BI72" s="10">
        <f t="shared" si="156"/>
        <v>-555584459.724401</v>
      </c>
      <c r="BJ72" s="10">
        <f t="shared" si="156"/>
        <v>-565832217.53150928</v>
      </c>
      <c r="BK72" s="10">
        <f t="shared" si="156"/>
        <v>-583005540.3610574</v>
      </c>
      <c r="BL72" s="10">
        <f t="shared" si="156"/>
        <v>-606328004.80912781</v>
      </c>
      <c r="BM72" s="10">
        <f t="shared" si="156"/>
        <v>-634986112.64170444</v>
      </c>
      <c r="BN72" s="10">
        <f t="shared" si="156"/>
        <v>-668135596.33671284</v>
      </c>
      <c r="BO72" s="10">
        <f t="shared" si="156"/>
        <v>-704907226.69839311</v>
      </c>
      <c r="BP72" s="10">
        <f t="shared" si="156"/>
        <v>-744412226.62065721</v>
      </c>
      <c r="BQ72" s="10">
        <f t="shared" si="156"/>
        <v>-785747390.69208455</v>
      </c>
      <c r="BR72" s="10">
        <f t="shared" si="156"/>
        <v>-827999999.99999988</v>
      </c>
      <c r="BT72" s="17"/>
      <c r="BU72" s="10">
        <f t="shared" si="157"/>
        <v>0.2679491924311227</v>
      </c>
      <c r="BV72" s="10">
        <f t="shared" si="158"/>
        <v>0.2679491924311227</v>
      </c>
      <c r="BW72" s="10">
        <f t="shared" si="159"/>
        <v>0.2679491924311227</v>
      </c>
      <c r="BX72" s="10">
        <f t="shared" si="160"/>
        <v>0.2679491924311227</v>
      </c>
      <c r="BY72" s="10">
        <f t="shared" si="161"/>
        <v>0.2679491924311227</v>
      </c>
      <c r="BZ72" s="10">
        <f t="shared" si="162"/>
        <v>0.2679491924311227</v>
      </c>
      <c r="CA72" s="10">
        <f t="shared" si="163"/>
        <v>0.2679491924311227</v>
      </c>
      <c r="CB72" s="10">
        <f t="shared" si="164"/>
        <v>0.2679491924311227</v>
      </c>
      <c r="CC72" s="10">
        <f t="shared" si="165"/>
        <v>0.2679491924311227</v>
      </c>
      <c r="CD72" s="10">
        <f t="shared" si="166"/>
        <v>0.2679491924311227</v>
      </c>
      <c r="CE72" s="10">
        <f t="shared" si="167"/>
        <v>0.2679491924311227</v>
      </c>
      <c r="CF72" s="10">
        <f t="shared" si="168"/>
        <v>0.2679491924311227</v>
      </c>
      <c r="CG72" s="10">
        <f t="shared" si="169"/>
        <v>0.2679491924311227</v>
      </c>
      <c r="CH72" s="10">
        <f t="shared" si="170"/>
        <v>0.2679491924311227</v>
      </c>
      <c r="CI72" s="10">
        <f t="shared" si="171"/>
        <v>0.2679491924311227</v>
      </c>
      <c r="CJ72" s="10">
        <f t="shared" si="172"/>
        <v>0.2679491924311227</v>
      </c>
      <c r="CK72" s="10">
        <f t="shared" si="173"/>
        <v>0.2679491924311227</v>
      </c>
      <c r="CL72" s="10">
        <f t="shared" si="174"/>
        <v>0.2679491924311227</v>
      </c>
      <c r="CM72" s="10">
        <f t="shared" si="175"/>
        <v>0.2679491924311227</v>
      </c>
      <c r="CN72" s="10">
        <f t="shared" si="176"/>
        <v>0.2679491924311227</v>
      </c>
      <c r="CO72" s="10">
        <f t="shared" si="177"/>
        <v>0.2679491924311227</v>
      </c>
      <c r="CP72" s="10">
        <f t="shared" si="178"/>
        <v>0.2679491924311227</v>
      </c>
      <c r="CQ72" s="10">
        <f t="shared" si="179"/>
        <v>0.2679491924311227</v>
      </c>
      <c r="CR72" s="10">
        <f t="shared" si="180"/>
        <v>0.2679491924311227</v>
      </c>
      <c r="CS72" s="10">
        <f t="shared" si="181"/>
        <v>0.2679491924311227</v>
      </c>
      <c r="CT72" s="10">
        <f t="shared" si="182"/>
        <v>0.2679491924311227</v>
      </c>
      <c r="CU72" s="10">
        <f t="shared" si="183"/>
        <v>0.2679491924311227</v>
      </c>
      <c r="CV72" s="10">
        <f t="shared" si="184"/>
        <v>0.2679491924311227</v>
      </c>
      <c r="CW72" s="10">
        <f t="shared" si="185"/>
        <v>0.2679491924311227</v>
      </c>
      <c r="CX72" s="10">
        <f t="shared" si="186"/>
        <v>0.2679491924311227</v>
      </c>
      <c r="CY72" s="10">
        <f t="shared" si="187"/>
        <v>0.2679491924311227</v>
      </c>
      <c r="DB72" s="17"/>
      <c r="DC72" s="10">
        <f t="shared" si="188"/>
        <v>219.6152422706632</v>
      </c>
      <c r="DD72" s="10">
        <f t="shared" si="189"/>
        <v>205.18250342611003</v>
      </c>
      <c r="DE72" s="10">
        <f t="shared" si="190"/>
        <v>190.87182594869876</v>
      </c>
      <c r="DF72" s="10">
        <f t="shared" si="191"/>
        <v>176.80305991527317</v>
      </c>
      <c r="DG72" s="10">
        <f t="shared" si="192"/>
        <v>163.09170647883548</v>
      </c>
      <c r="DH72" s="10">
        <f t="shared" si="193"/>
        <v>149.84692345751355</v>
      </c>
      <c r="DI72" s="10">
        <f t="shared" si="194"/>
        <v>137.16973583241915</v>
      </c>
      <c r="DJ72" s="10">
        <f t="shared" si="195"/>
        <v>125.15150175171841</v>
      </c>
      <c r="DK72" s="10">
        <f t="shared" si="196"/>
        <v>113.87267114383326</v>
      </c>
      <c r="DL72" s="10">
        <f t="shared" si="197"/>
        <v>103.40185910346634</v>
      </c>
      <c r="DM72" s="10">
        <f t="shared" si="198"/>
        <v>93.795240865179352</v>
      </c>
      <c r="DN72" s="10">
        <f t="shared" si="199"/>
        <v>85.096260444096131</v>
      </c>
      <c r="DO72" s="10">
        <f t="shared" si="200"/>
        <v>77.335631831565465</v>
      </c>
      <c r="DP72" s="10">
        <f t="shared" si="201"/>
        <v>70.53160074970755</v>
      </c>
      <c r="DQ72" s="10">
        <f t="shared" si="202"/>
        <v>64.690426937975829</v>
      </c>
      <c r="DR72" s="10">
        <f t="shared" si="203"/>
        <v>59.807042061062354</v>
      </c>
      <c r="DS72" s="10">
        <f t="shared" si="204"/>
        <v>55.865836624475477</v>
      </c>
      <c r="DT72" s="10">
        <f t="shared" si="205"/>
        <v>52.841530550446045</v>
      </c>
      <c r="DU72" s="10">
        <f t="shared" si="206"/>
        <v>50.700085881232376</v>
      </c>
      <c r="DV72" s="10">
        <f t="shared" si="207"/>
        <v>49.399625860435073</v>
      </c>
      <c r="DW72" s="10">
        <f t="shared" si="208"/>
        <v>48.891331721610996</v>
      </c>
      <c r="DX72" s="10">
        <f t="shared" si="209"/>
        <v>49.120296185261623</v>
      </c>
      <c r="DY72" s="10">
        <f t="shared" si="210"/>
        <v>50.026320264786243</v>
      </c>
      <c r="DZ72" s="10">
        <f t="shared" si="211"/>
        <v>51.544646937009887</v>
      </c>
      <c r="EA72" s="10">
        <f t="shared" si="212"/>
        <v>53.606631107747369</v>
      </c>
      <c r="EB72" s="10">
        <f t="shared" si="213"/>
        <v>56.14034982540845</v>
      </c>
      <c r="EC72" s="10">
        <f t="shared" si="214"/>
        <v>59.071159766159916</v>
      </c>
      <c r="ED72" s="10">
        <f t="shared" si="215"/>
        <v>62.32221069634015</v>
      </c>
      <c r="EE72" s="10">
        <f t="shared" si="216"/>
        <v>65.814924113743757</v>
      </c>
      <c r="EF72" s="10">
        <f t="shared" si="217"/>
        <v>69.469445881796943</v>
      </c>
      <c r="EG72" s="10">
        <f t="shared" si="218"/>
        <v>73.205080756887725</v>
      </c>
    </row>
    <row r="73" spans="6:137" x14ac:dyDescent="0.3">
      <c r="F73" s="17"/>
      <c r="G73" s="3">
        <v>300</v>
      </c>
      <c r="H73" s="2">
        <f t="shared" si="219"/>
        <v>280.28451209215393</v>
      </c>
      <c r="I73" s="2">
        <f t="shared" si="219"/>
        <v>260.73576311264429</v>
      </c>
      <c r="J73" s="2">
        <f t="shared" si="219"/>
        <v>241.51747131108533</v>
      </c>
      <c r="K73" s="2">
        <f t="shared" si="219"/>
        <v>222.78741419664436</v>
      </c>
      <c r="L73" s="2">
        <f t="shared" si="219"/>
        <v>204.69470412190583</v>
      </c>
      <c r="M73" s="2">
        <f t="shared" si="219"/>
        <v>187.37734377748515</v>
      </c>
      <c r="N73" s="2">
        <f t="shared" si="219"/>
        <v>170.96013071462002</v>
      </c>
      <c r="O73" s="2">
        <f t="shared" si="219"/>
        <v>155.55296157926742</v>
      </c>
      <c r="P73" s="2">
        <f t="shared" si="219"/>
        <v>141.24956633387424</v>
      </c>
      <c r="Q73" s="2">
        <f t="shared" si="219"/>
        <v>128.1266817759153</v>
      </c>
      <c r="R73" s="2">
        <f t="shared" si="219"/>
        <v>116.24365353369217</v>
      </c>
      <c r="S73" s="2">
        <f t="shared" si="219"/>
        <v>105.6424376996389</v>
      </c>
      <c r="T73" s="2">
        <f t="shared" si="219"/>
        <v>96.347958393682077</v>
      </c>
      <c r="U73" s="2">
        <f t="shared" si="219"/>
        <v>88.36876657893616</v>
      </c>
      <c r="V73" s="2">
        <f t="shared" si="219"/>
        <v>81.697938780615601</v>
      </c>
      <c r="W73" s="2">
        <f t="shared" si="219"/>
        <v>76.314152032704598</v>
      </c>
      <c r="X73" s="2">
        <f t="shared" si="219"/>
        <v>72.182873106760809</v>
      </c>
      <c r="Y73" s="2">
        <f t="shared" si="219"/>
        <v>69.257605287816176</v>
      </c>
      <c r="Z73" s="2">
        <f t="shared" si="219"/>
        <v>67.481143862801019</v>
      </c>
      <c r="AA73" s="2">
        <f t="shared" si="219"/>
        <v>66.786801156572594</v>
      </c>
      <c r="AB73" s="2">
        <f t="shared" si="219"/>
        <v>67.099572430483235</v>
      </c>
      <c r="AC73" s="2">
        <f t="shared" si="219"/>
        <v>68.337224339554268</v>
      </c>
      <c r="AD73" s="2">
        <f t="shared" si="219"/>
        <v>70.411297145055258</v>
      </c>
      <c r="AE73" s="2">
        <f t="shared" si="219"/>
        <v>73.228019904484043</v>
      </c>
      <c r="AF73" s="2">
        <f t="shared" si="219"/>
        <v>76.689144038853215</v>
      </c>
      <c r="AG73" s="2">
        <f t="shared" si="219"/>
        <v>80.692704871583686</v>
      </c>
      <c r="AH73" s="2">
        <f t="shared" si="219"/>
        <v>85.133723031206912</v>
      </c>
      <c r="AI73" s="2">
        <f t="shared" si="219"/>
        <v>89.904858287519005</v>
      </c>
      <c r="AJ73" s="2">
        <f t="shared" si="221"/>
        <v>94.897027861362872</v>
      </c>
      <c r="AK73" s="2">
        <v>100</v>
      </c>
      <c r="AM73" s="17"/>
      <c r="AN73" s="10">
        <f t="shared" si="220"/>
        <v>-2483999999.9999995</v>
      </c>
      <c r="AO73" s="10">
        <f t="shared" si="156"/>
        <v>-2320755760.123034</v>
      </c>
      <c r="AP73" s="10">
        <f t="shared" si="156"/>
        <v>-2158892118.5726943</v>
      </c>
      <c r="AQ73" s="10">
        <f t="shared" si="156"/>
        <v>-1999764662.4557862</v>
      </c>
      <c r="AR73" s="10">
        <f t="shared" si="156"/>
        <v>-1844679789.5482149</v>
      </c>
      <c r="AS73" s="10">
        <f t="shared" si="156"/>
        <v>-1694872150.12938</v>
      </c>
      <c r="AT73" s="10">
        <f t="shared" si="156"/>
        <v>-1551484406.4775767</v>
      </c>
      <c r="AU73" s="10">
        <f t="shared" si="156"/>
        <v>-1415549882.3170536</v>
      </c>
      <c r="AV73" s="10">
        <f t="shared" si="156"/>
        <v>-1287978521.876334</v>
      </c>
      <c r="AW73" s="10">
        <f t="shared" si="156"/>
        <v>-1169546409.2444785</v>
      </c>
      <c r="AX73" s="10">
        <f t="shared" si="156"/>
        <v>-1060888925.1045785</v>
      </c>
      <c r="AY73" s="10">
        <f t="shared" si="156"/>
        <v>-962497451.25897086</v>
      </c>
      <c r="AZ73" s="10">
        <f t="shared" si="156"/>
        <v>-874719384.15301001</v>
      </c>
      <c r="BA73" s="10">
        <f t="shared" si="156"/>
        <v>-797761095.49968731</v>
      </c>
      <c r="BB73" s="10">
        <f t="shared" si="156"/>
        <v>-731693387.27359128</v>
      </c>
      <c r="BC73" s="10">
        <f t="shared" si="156"/>
        <v>-676458933.10349703</v>
      </c>
      <c r="BD73" s="10">
        <f t="shared" si="156"/>
        <v>-631881178.83079386</v>
      </c>
      <c r="BE73" s="10">
        <f t="shared" si="156"/>
        <v>-597674189.32397938</v>
      </c>
      <c r="BF73" s="10">
        <f t="shared" si="156"/>
        <v>-573452971.78311777</v>
      </c>
      <c r="BG73" s="10">
        <f t="shared" si="156"/>
        <v>-558743871.18399227</v>
      </c>
      <c r="BH73" s="10">
        <f t="shared" si="156"/>
        <v>-552994713.5764209</v>
      </c>
      <c r="BI73" s="10">
        <f t="shared" si="156"/>
        <v>-555584459.724401</v>
      </c>
      <c r="BJ73" s="10">
        <f t="shared" si="156"/>
        <v>-565832217.53150928</v>
      </c>
      <c r="BK73" s="10">
        <f t="shared" si="156"/>
        <v>-583005540.3610574</v>
      </c>
      <c r="BL73" s="10">
        <f t="shared" si="156"/>
        <v>-606328004.80912781</v>
      </c>
      <c r="BM73" s="10">
        <f t="shared" si="156"/>
        <v>-634986112.64170444</v>
      </c>
      <c r="BN73" s="10">
        <f t="shared" si="156"/>
        <v>-668135596.33671284</v>
      </c>
      <c r="BO73" s="10">
        <f t="shared" si="156"/>
        <v>-704907226.69839311</v>
      </c>
      <c r="BP73" s="10">
        <f t="shared" si="156"/>
        <v>-744412226.62065721</v>
      </c>
      <c r="BQ73" s="10">
        <f t="shared" si="156"/>
        <v>-785747390.69208455</v>
      </c>
      <c r="BR73" s="10">
        <f t="shared" si="156"/>
        <v>-827999999.99999988</v>
      </c>
      <c r="BT73" s="17"/>
      <c r="BU73" s="10">
        <f t="shared" si="157"/>
        <v>0.2679491924311227</v>
      </c>
      <c r="BV73" s="10">
        <f t="shared" si="158"/>
        <v>0.2679491924311227</v>
      </c>
      <c r="BW73" s="10">
        <f t="shared" si="159"/>
        <v>0.2679491924311227</v>
      </c>
      <c r="BX73" s="10">
        <f t="shared" si="160"/>
        <v>0.2679491924311227</v>
      </c>
      <c r="BY73" s="10">
        <f t="shared" si="161"/>
        <v>0.2679491924311227</v>
      </c>
      <c r="BZ73" s="10">
        <f t="shared" si="162"/>
        <v>0.2679491924311227</v>
      </c>
      <c r="CA73" s="10">
        <f t="shared" si="163"/>
        <v>0.2679491924311227</v>
      </c>
      <c r="CB73" s="10">
        <f t="shared" si="164"/>
        <v>0.2679491924311227</v>
      </c>
      <c r="CC73" s="10">
        <f t="shared" si="165"/>
        <v>0.2679491924311227</v>
      </c>
      <c r="CD73" s="10">
        <f t="shared" si="166"/>
        <v>0.2679491924311227</v>
      </c>
      <c r="CE73" s="10">
        <f t="shared" si="167"/>
        <v>0.2679491924311227</v>
      </c>
      <c r="CF73" s="10">
        <f t="shared" si="168"/>
        <v>0.2679491924311227</v>
      </c>
      <c r="CG73" s="10">
        <f t="shared" si="169"/>
        <v>0.2679491924311227</v>
      </c>
      <c r="CH73" s="10">
        <f t="shared" si="170"/>
        <v>0.2679491924311227</v>
      </c>
      <c r="CI73" s="10">
        <f t="shared" si="171"/>
        <v>0.2679491924311227</v>
      </c>
      <c r="CJ73" s="10">
        <f t="shared" si="172"/>
        <v>0.2679491924311227</v>
      </c>
      <c r="CK73" s="10">
        <f t="shared" si="173"/>
        <v>0.2679491924311227</v>
      </c>
      <c r="CL73" s="10">
        <f t="shared" si="174"/>
        <v>0.2679491924311227</v>
      </c>
      <c r="CM73" s="10">
        <f t="shared" si="175"/>
        <v>0.2679491924311227</v>
      </c>
      <c r="CN73" s="10">
        <f t="shared" si="176"/>
        <v>0.2679491924311227</v>
      </c>
      <c r="CO73" s="10">
        <f t="shared" si="177"/>
        <v>0.2679491924311227</v>
      </c>
      <c r="CP73" s="10">
        <f t="shared" si="178"/>
        <v>0.2679491924311227</v>
      </c>
      <c r="CQ73" s="10">
        <f t="shared" si="179"/>
        <v>0.2679491924311227</v>
      </c>
      <c r="CR73" s="10">
        <f t="shared" si="180"/>
        <v>0.2679491924311227</v>
      </c>
      <c r="CS73" s="10">
        <f t="shared" si="181"/>
        <v>0.2679491924311227</v>
      </c>
      <c r="CT73" s="10">
        <f t="shared" si="182"/>
        <v>0.2679491924311227</v>
      </c>
      <c r="CU73" s="10">
        <f t="shared" si="183"/>
        <v>0.2679491924311227</v>
      </c>
      <c r="CV73" s="10">
        <f t="shared" si="184"/>
        <v>0.2679491924311227</v>
      </c>
      <c r="CW73" s="10">
        <f t="shared" si="185"/>
        <v>0.2679491924311227</v>
      </c>
      <c r="CX73" s="10">
        <f t="shared" si="186"/>
        <v>0.2679491924311227</v>
      </c>
      <c r="CY73" s="10">
        <f t="shared" si="187"/>
        <v>0.2679491924311227</v>
      </c>
      <c r="DB73" s="17"/>
      <c r="DC73" s="10">
        <f t="shared" si="188"/>
        <v>219.6152422706632</v>
      </c>
      <c r="DD73" s="10">
        <f t="shared" si="189"/>
        <v>205.18250342611003</v>
      </c>
      <c r="DE73" s="10">
        <f t="shared" si="190"/>
        <v>190.87182594869876</v>
      </c>
      <c r="DF73" s="10">
        <f t="shared" si="191"/>
        <v>176.80305991527317</v>
      </c>
      <c r="DG73" s="10">
        <f t="shared" si="192"/>
        <v>163.09170647883548</v>
      </c>
      <c r="DH73" s="10">
        <f t="shared" si="193"/>
        <v>149.84692345751355</v>
      </c>
      <c r="DI73" s="10">
        <f t="shared" si="194"/>
        <v>137.16973583241915</v>
      </c>
      <c r="DJ73" s="10">
        <f t="shared" si="195"/>
        <v>125.15150175171841</v>
      </c>
      <c r="DK73" s="10">
        <f t="shared" si="196"/>
        <v>113.87267114383326</v>
      </c>
      <c r="DL73" s="10">
        <f t="shared" si="197"/>
        <v>103.40185910346634</v>
      </c>
      <c r="DM73" s="10">
        <f t="shared" si="198"/>
        <v>93.795240865179352</v>
      </c>
      <c r="DN73" s="10">
        <f t="shared" si="199"/>
        <v>85.096260444096131</v>
      </c>
      <c r="DO73" s="10">
        <f t="shared" si="200"/>
        <v>77.335631831565465</v>
      </c>
      <c r="DP73" s="10">
        <f t="shared" si="201"/>
        <v>70.53160074970755</v>
      </c>
      <c r="DQ73" s="10">
        <f t="shared" si="202"/>
        <v>64.690426937975829</v>
      </c>
      <c r="DR73" s="10">
        <f t="shared" si="203"/>
        <v>59.807042061062354</v>
      </c>
      <c r="DS73" s="10">
        <f t="shared" si="204"/>
        <v>55.865836624475477</v>
      </c>
      <c r="DT73" s="10">
        <f t="shared" si="205"/>
        <v>52.841530550446045</v>
      </c>
      <c r="DU73" s="10">
        <f t="shared" si="206"/>
        <v>50.700085881232376</v>
      </c>
      <c r="DV73" s="10">
        <f t="shared" si="207"/>
        <v>49.399625860435073</v>
      </c>
      <c r="DW73" s="10">
        <f t="shared" si="208"/>
        <v>48.891331721610996</v>
      </c>
      <c r="DX73" s="10">
        <f t="shared" si="209"/>
        <v>49.120296185261623</v>
      </c>
      <c r="DY73" s="10">
        <f t="shared" si="210"/>
        <v>50.026320264786243</v>
      </c>
      <c r="DZ73" s="10">
        <f t="shared" si="211"/>
        <v>51.544646937009887</v>
      </c>
      <c r="EA73" s="10">
        <f t="shared" si="212"/>
        <v>53.606631107747369</v>
      </c>
      <c r="EB73" s="10">
        <f t="shared" si="213"/>
        <v>56.14034982540845</v>
      </c>
      <c r="EC73" s="10">
        <f t="shared" si="214"/>
        <v>59.071159766159916</v>
      </c>
      <c r="ED73" s="10">
        <f t="shared" si="215"/>
        <v>62.32221069634015</v>
      </c>
      <c r="EE73" s="10">
        <f t="shared" si="216"/>
        <v>65.814924113743757</v>
      </c>
      <c r="EF73" s="10">
        <f t="shared" si="217"/>
        <v>69.469445881796943</v>
      </c>
      <c r="EG73" s="10">
        <f t="shared" si="218"/>
        <v>73.205080756887725</v>
      </c>
    </row>
    <row r="74" spans="6:137" x14ac:dyDescent="0.3">
      <c r="F74" s="17"/>
      <c r="G74" s="3">
        <v>300</v>
      </c>
      <c r="H74" s="2">
        <f t="shared" si="219"/>
        <v>280.28451209215393</v>
      </c>
      <c r="I74" s="2">
        <f t="shared" si="219"/>
        <v>260.73576311264429</v>
      </c>
      <c r="J74" s="2">
        <f t="shared" si="219"/>
        <v>241.51747131108533</v>
      </c>
      <c r="K74" s="2">
        <f t="shared" si="219"/>
        <v>222.78741419664436</v>
      </c>
      <c r="L74" s="2">
        <f t="shared" si="219"/>
        <v>204.69470412190583</v>
      </c>
      <c r="M74" s="2">
        <f t="shared" si="219"/>
        <v>187.37734377748515</v>
      </c>
      <c r="N74" s="2">
        <f t="shared" si="219"/>
        <v>170.96013071462002</v>
      </c>
      <c r="O74" s="2">
        <f t="shared" si="219"/>
        <v>155.55296157926742</v>
      </c>
      <c r="P74" s="2">
        <f t="shared" si="219"/>
        <v>141.24956633387424</v>
      </c>
      <c r="Q74" s="2">
        <f t="shared" si="219"/>
        <v>128.1266817759153</v>
      </c>
      <c r="R74" s="2">
        <f t="shared" si="219"/>
        <v>116.24365353369217</v>
      </c>
      <c r="S74" s="2">
        <f t="shared" si="219"/>
        <v>105.6424376996389</v>
      </c>
      <c r="T74" s="2">
        <f t="shared" si="219"/>
        <v>96.347958393682077</v>
      </c>
      <c r="U74" s="2">
        <f t="shared" si="219"/>
        <v>88.36876657893616</v>
      </c>
      <c r="V74" s="2">
        <f t="shared" si="219"/>
        <v>81.697938780615601</v>
      </c>
      <c r="W74" s="2">
        <f t="shared" si="219"/>
        <v>76.314152032704598</v>
      </c>
      <c r="X74" s="2">
        <f t="shared" si="219"/>
        <v>72.182873106760809</v>
      </c>
      <c r="Y74" s="2">
        <f t="shared" si="219"/>
        <v>69.257605287816176</v>
      </c>
      <c r="Z74" s="2">
        <f t="shared" si="219"/>
        <v>67.481143862801019</v>
      </c>
      <c r="AA74" s="2">
        <f t="shared" si="219"/>
        <v>66.786801156572594</v>
      </c>
      <c r="AB74" s="2">
        <f t="shared" si="219"/>
        <v>67.099572430483235</v>
      </c>
      <c r="AC74" s="2">
        <f t="shared" si="219"/>
        <v>68.337224339554268</v>
      </c>
      <c r="AD74" s="2">
        <f t="shared" si="219"/>
        <v>70.411297145055258</v>
      </c>
      <c r="AE74" s="2">
        <f t="shared" si="219"/>
        <v>73.228019904484043</v>
      </c>
      <c r="AF74" s="2">
        <f t="shared" si="219"/>
        <v>76.689144038853215</v>
      </c>
      <c r="AG74" s="2">
        <f t="shared" si="219"/>
        <v>80.692704871583686</v>
      </c>
      <c r="AH74" s="2">
        <f t="shared" si="219"/>
        <v>85.133723031206912</v>
      </c>
      <c r="AI74" s="2">
        <f t="shared" si="219"/>
        <v>89.904858287519005</v>
      </c>
      <c r="AJ74" s="2">
        <f t="shared" si="221"/>
        <v>94.897027861362872</v>
      </c>
      <c r="AK74" s="2">
        <v>100</v>
      </c>
      <c r="AM74" s="17"/>
      <c r="AN74" s="10">
        <f t="shared" si="220"/>
        <v>-2483999999.9999995</v>
      </c>
      <c r="AO74" s="10">
        <f t="shared" si="156"/>
        <v>-2320755760.123034</v>
      </c>
      <c r="AP74" s="10">
        <f t="shared" si="156"/>
        <v>-2158892118.5726943</v>
      </c>
      <c r="AQ74" s="10">
        <f t="shared" si="156"/>
        <v>-1999764662.4557862</v>
      </c>
      <c r="AR74" s="10">
        <f t="shared" si="156"/>
        <v>-1844679789.5482149</v>
      </c>
      <c r="AS74" s="10">
        <f t="shared" si="156"/>
        <v>-1694872150.12938</v>
      </c>
      <c r="AT74" s="10">
        <f t="shared" si="156"/>
        <v>-1551484406.4775767</v>
      </c>
      <c r="AU74" s="10">
        <f t="shared" si="156"/>
        <v>-1415549882.3170536</v>
      </c>
      <c r="AV74" s="10">
        <f t="shared" si="156"/>
        <v>-1287978521.876334</v>
      </c>
      <c r="AW74" s="10">
        <f t="shared" si="156"/>
        <v>-1169546409.2444785</v>
      </c>
      <c r="AX74" s="10">
        <f t="shared" si="156"/>
        <v>-1060888925.1045785</v>
      </c>
      <c r="AY74" s="10">
        <f t="shared" si="156"/>
        <v>-962497451.25897086</v>
      </c>
      <c r="AZ74" s="10">
        <f t="shared" si="156"/>
        <v>-874719384.15301001</v>
      </c>
      <c r="BA74" s="10">
        <f t="shared" si="156"/>
        <v>-797761095.49968731</v>
      </c>
      <c r="BB74" s="10">
        <f t="shared" si="156"/>
        <v>-731693387.27359128</v>
      </c>
      <c r="BC74" s="10">
        <f t="shared" si="156"/>
        <v>-676458933.10349703</v>
      </c>
      <c r="BD74" s="10">
        <f t="shared" si="156"/>
        <v>-631881178.83079386</v>
      </c>
      <c r="BE74" s="10">
        <f t="shared" si="156"/>
        <v>-597674189.32397938</v>
      </c>
      <c r="BF74" s="10">
        <f t="shared" si="156"/>
        <v>-573452971.78311777</v>
      </c>
      <c r="BG74" s="10">
        <f t="shared" si="156"/>
        <v>-558743871.18399227</v>
      </c>
      <c r="BH74" s="10">
        <f t="shared" si="156"/>
        <v>-552994713.5764209</v>
      </c>
      <c r="BI74" s="10">
        <f t="shared" si="156"/>
        <v>-555584459.724401</v>
      </c>
      <c r="BJ74" s="10">
        <f t="shared" si="156"/>
        <v>-565832217.53150928</v>
      </c>
      <c r="BK74" s="10">
        <f t="shared" si="156"/>
        <v>-583005540.3610574</v>
      </c>
      <c r="BL74" s="10">
        <f t="shared" si="156"/>
        <v>-606328004.80912781</v>
      </c>
      <c r="BM74" s="10">
        <f t="shared" si="156"/>
        <v>-634986112.64170444</v>
      </c>
      <c r="BN74" s="10">
        <f t="shared" si="156"/>
        <v>-668135596.33671284</v>
      </c>
      <c r="BO74" s="10">
        <f t="shared" si="156"/>
        <v>-704907226.69839311</v>
      </c>
      <c r="BP74" s="10">
        <f t="shared" si="156"/>
        <v>-744412226.62065721</v>
      </c>
      <c r="BQ74" s="10">
        <f t="shared" si="156"/>
        <v>-785747390.69208455</v>
      </c>
      <c r="BR74" s="10">
        <f t="shared" si="156"/>
        <v>-827999999.99999988</v>
      </c>
      <c r="BT74" s="17"/>
      <c r="BU74" s="10">
        <f t="shared" si="157"/>
        <v>0.2679491924311227</v>
      </c>
      <c r="BV74" s="10">
        <f t="shared" si="158"/>
        <v>0.2679491924311227</v>
      </c>
      <c r="BW74" s="10">
        <f t="shared" si="159"/>
        <v>0.2679491924311227</v>
      </c>
      <c r="BX74" s="10">
        <f t="shared" si="160"/>
        <v>0.2679491924311227</v>
      </c>
      <c r="BY74" s="10">
        <f t="shared" si="161"/>
        <v>0.2679491924311227</v>
      </c>
      <c r="BZ74" s="10">
        <f t="shared" si="162"/>
        <v>0.2679491924311227</v>
      </c>
      <c r="CA74" s="10">
        <f t="shared" si="163"/>
        <v>0.2679491924311227</v>
      </c>
      <c r="CB74" s="10">
        <f t="shared" si="164"/>
        <v>0.2679491924311227</v>
      </c>
      <c r="CC74" s="10">
        <f t="shared" si="165"/>
        <v>0.2679491924311227</v>
      </c>
      <c r="CD74" s="10">
        <f t="shared" si="166"/>
        <v>0.2679491924311227</v>
      </c>
      <c r="CE74" s="10">
        <f t="shared" si="167"/>
        <v>0.2679491924311227</v>
      </c>
      <c r="CF74" s="10">
        <f t="shared" si="168"/>
        <v>0.2679491924311227</v>
      </c>
      <c r="CG74" s="10">
        <f t="shared" si="169"/>
        <v>0.2679491924311227</v>
      </c>
      <c r="CH74" s="10">
        <f t="shared" si="170"/>
        <v>0.2679491924311227</v>
      </c>
      <c r="CI74" s="10">
        <f t="shared" si="171"/>
        <v>0.2679491924311227</v>
      </c>
      <c r="CJ74" s="10">
        <f t="shared" si="172"/>
        <v>0.2679491924311227</v>
      </c>
      <c r="CK74" s="10">
        <f t="shared" si="173"/>
        <v>0.2679491924311227</v>
      </c>
      <c r="CL74" s="10">
        <f t="shared" si="174"/>
        <v>0.2679491924311227</v>
      </c>
      <c r="CM74" s="10">
        <f t="shared" si="175"/>
        <v>0.2679491924311227</v>
      </c>
      <c r="CN74" s="10">
        <f t="shared" si="176"/>
        <v>0.2679491924311227</v>
      </c>
      <c r="CO74" s="10">
        <f t="shared" si="177"/>
        <v>0.2679491924311227</v>
      </c>
      <c r="CP74" s="10">
        <f t="shared" si="178"/>
        <v>0.2679491924311227</v>
      </c>
      <c r="CQ74" s="10">
        <f t="shared" si="179"/>
        <v>0.2679491924311227</v>
      </c>
      <c r="CR74" s="10">
        <f t="shared" si="180"/>
        <v>0.2679491924311227</v>
      </c>
      <c r="CS74" s="10">
        <f t="shared" si="181"/>
        <v>0.2679491924311227</v>
      </c>
      <c r="CT74" s="10">
        <f t="shared" si="182"/>
        <v>0.2679491924311227</v>
      </c>
      <c r="CU74" s="10">
        <f t="shared" si="183"/>
        <v>0.2679491924311227</v>
      </c>
      <c r="CV74" s="10">
        <f t="shared" si="184"/>
        <v>0.2679491924311227</v>
      </c>
      <c r="CW74" s="10">
        <f t="shared" si="185"/>
        <v>0.2679491924311227</v>
      </c>
      <c r="CX74" s="10">
        <f t="shared" si="186"/>
        <v>0.2679491924311227</v>
      </c>
      <c r="CY74" s="10">
        <f t="shared" si="187"/>
        <v>0.2679491924311227</v>
      </c>
      <c r="DB74" s="17"/>
      <c r="DC74" s="10">
        <f t="shared" si="188"/>
        <v>219.6152422706632</v>
      </c>
      <c r="DD74" s="10">
        <f t="shared" si="189"/>
        <v>205.18250342611003</v>
      </c>
      <c r="DE74" s="10">
        <f t="shared" si="190"/>
        <v>190.87182594869876</v>
      </c>
      <c r="DF74" s="10">
        <f t="shared" si="191"/>
        <v>176.80305991527317</v>
      </c>
      <c r="DG74" s="10">
        <f t="shared" si="192"/>
        <v>163.09170647883548</v>
      </c>
      <c r="DH74" s="10">
        <f t="shared" si="193"/>
        <v>149.84692345751355</v>
      </c>
      <c r="DI74" s="10">
        <f t="shared" si="194"/>
        <v>137.16973583241915</v>
      </c>
      <c r="DJ74" s="10">
        <f t="shared" si="195"/>
        <v>125.15150175171841</v>
      </c>
      <c r="DK74" s="10">
        <f t="shared" si="196"/>
        <v>113.87267114383326</v>
      </c>
      <c r="DL74" s="10">
        <f t="shared" si="197"/>
        <v>103.40185910346634</v>
      </c>
      <c r="DM74" s="10">
        <f t="shared" si="198"/>
        <v>93.795240865179352</v>
      </c>
      <c r="DN74" s="10">
        <f t="shared" si="199"/>
        <v>85.096260444096131</v>
      </c>
      <c r="DO74" s="10">
        <f t="shared" si="200"/>
        <v>77.335631831565465</v>
      </c>
      <c r="DP74" s="10">
        <f t="shared" si="201"/>
        <v>70.53160074970755</v>
      </c>
      <c r="DQ74" s="10">
        <f t="shared" si="202"/>
        <v>64.690426937975829</v>
      </c>
      <c r="DR74" s="10">
        <f t="shared" si="203"/>
        <v>59.807042061062354</v>
      </c>
      <c r="DS74" s="10">
        <f t="shared" si="204"/>
        <v>55.865836624475477</v>
      </c>
      <c r="DT74" s="10">
        <f t="shared" si="205"/>
        <v>52.841530550446045</v>
      </c>
      <c r="DU74" s="10">
        <f t="shared" si="206"/>
        <v>50.700085881232376</v>
      </c>
      <c r="DV74" s="10">
        <f t="shared" si="207"/>
        <v>49.399625860435073</v>
      </c>
      <c r="DW74" s="10">
        <f t="shared" si="208"/>
        <v>48.891331721610996</v>
      </c>
      <c r="DX74" s="10">
        <f t="shared" si="209"/>
        <v>49.120296185261623</v>
      </c>
      <c r="DY74" s="10">
        <f t="shared" si="210"/>
        <v>50.026320264786243</v>
      </c>
      <c r="DZ74" s="10">
        <f t="shared" si="211"/>
        <v>51.544646937009887</v>
      </c>
      <c r="EA74" s="10">
        <f t="shared" si="212"/>
        <v>53.606631107747369</v>
      </c>
      <c r="EB74" s="10">
        <f t="shared" si="213"/>
        <v>56.14034982540845</v>
      </c>
      <c r="EC74" s="10">
        <f t="shared" si="214"/>
        <v>59.071159766159916</v>
      </c>
      <c r="ED74" s="10">
        <f t="shared" si="215"/>
        <v>62.32221069634015</v>
      </c>
      <c r="EE74" s="10">
        <f t="shared" si="216"/>
        <v>65.814924113743757</v>
      </c>
      <c r="EF74" s="10">
        <f t="shared" si="217"/>
        <v>69.469445881796943</v>
      </c>
      <c r="EG74" s="10">
        <f t="shared" si="218"/>
        <v>73.205080756887725</v>
      </c>
    </row>
    <row r="75" spans="6:137" x14ac:dyDescent="0.3">
      <c r="F75" s="17"/>
      <c r="G75" s="3">
        <v>300</v>
      </c>
      <c r="H75" s="2">
        <f t="shared" si="219"/>
        <v>280.28451209215393</v>
      </c>
      <c r="I75" s="2">
        <f t="shared" si="219"/>
        <v>260.73576311264429</v>
      </c>
      <c r="J75" s="2">
        <f t="shared" si="219"/>
        <v>241.51747131108533</v>
      </c>
      <c r="K75" s="2">
        <f t="shared" si="219"/>
        <v>222.78741419664436</v>
      </c>
      <c r="L75" s="2">
        <f t="shared" si="219"/>
        <v>204.69470412190583</v>
      </c>
      <c r="M75" s="2">
        <f t="shared" si="219"/>
        <v>187.37734377748515</v>
      </c>
      <c r="N75" s="2">
        <f t="shared" si="219"/>
        <v>170.96013071462002</v>
      </c>
      <c r="O75" s="2">
        <f t="shared" si="219"/>
        <v>155.55296157926742</v>
      </c>
      <c r="P75" s="2">
        <f t="shared" si="219"/>
        <v>141.24956633387424</v>
      </c>
      <c r="Q75" s="2">
        <f t="shared" si="219"/>
        <v>128.1266817759153</v>
      </c>
      <c r="R75" s="2">
        <f t="shared" si="219"/>
        <v>116.24365353369217</v>
      </c>
      <c r="S75" s="2">
        <f t="shared" si="219"/>
        <v>105.6424376996389</v>
      </c>
      <c r="T75" s="2">
        <f t="shared" si="219"/>
        <v>96.347958393682077</v>
      </c>
      <c r="U75" s="2">
        <f t="shared" si="219"/>
        <v>88.36876657893616</v>
      </c>
      <c r="V75" s="2">
        <f t="shared" si="219"/>
        <v>81.697938780615601</v>
      </c>
      <c r="W75" s="2">
        <f t="shared" si="219"/>
        <v>76.314152032704598</v>
      </c>
      <c r="X75" s="2">
        <f t="shared" si="219"/>
        <v>72.182873106760809</v>
      </c>
      <c r="Y75" s="2">
        <f t="shared" si="219"/>
        <v>69.257605287816176</v>
      </c>
      <c r="Z75" s="2">
        <f t="shared" si="219"/>
        <v>67.481143862801019</v>
      </c>
      <c r="AA75" s="2">
        <f t="shared" si="219"/>
        <v>66.786801156572594</v>
      </c>
      <c r="AB75" s="2">
        <f t="shared" si="219"/>
        <v>67.099572430483235</v>
      </c>
      <c r="AC75" s="2">
        <f t="shared" si="219"/>
        <v>68.337224339554268</v>
      </c>
      <c r="AD75" s="2">
        <f t="shared" si="219"/>
        <v>70.411297145055258</v>
      </c>
      <c r="AE75" s="2">
        <f t="shared" si="219"/>
        <v>73.228019904484043</v>
      </c>
      <c r="AF75" s="2">
        <f t="shared" si="219"/>
        <v>76.689144038853215</v>
      </c>
      <c r="AG75" s="2">
        <f t="shared" si="219"/>
        <v>80.692704871583686</v>
      </c>
      <c r="AH75" s="2">
        <f t="shared" si="219"/>
        <v>85.133723031206912</v>
      </c>
      <c r="AI75" s="2">
        <f t="shared" si="219"/>
        <v>89.904858287519005</v>
      </c>
      <c r="AJ75" s="2">
        <f t="shared" si="221"/>
        <v>94.897027861362872</v>
      </c>
      <c r="AK75" s="2">
        <v>100</v>
      </c>
      <c r="AM75" s="17"/>
      <c r="AN75" s="10">
        <f t="shared" si="220"/>
        <v>-2483999999.9999995</v>
      </c>
      <c r="AO75" s="10">
        <f t="shared" si="156"/>
        <v>-2320755760.123034</v>
      </c>
      <c r="AP75" s="10">
        <f t="shared" si="156"/>
        <v>-2158892118.5726943</v>
      </c>
      <c r="AQ75" s="10">
        <f t="shared" si="156"/>
        <v>-1999764662.4557862</v>
      </c>
      <c r="AR75" s="10">
        <f t="shared" si="156"/>
        <v>-1844679789.5482149</v>
      </c>
      <c r="AS75" s="10">
        <f t="shared" si="156"/>
        <v>-1694872150.12938</v>
      </c>
      <c r="AT75" s="10">
        <f t="shared" si="156"/>
        <v>-1551484406.4775767</v>
      </c>
      <c r="AU75" s="10">
        <f t="shared" si="156"/>
        <v>-1415549882.3170536</v>
      </c>
      <c r="AV75" s="10">
        <f t="shared" si="156"/>
        <v>-1287978521.876334</v>
      </c>
      <c r="AW75" s="10">
        <f t="shared" si="156"/>
        <v>-1169546409.2444785</v>
      </c>
      <c r="AX75" s="10">
        <f t="shared" si="156"/>
        <v>-1060888925.1045785</v>
      </c>
      <c r="AY75" s="10">
        <f t="shared" si="156"/>
        <v>-962497451.25897086</v>
      </c>
      <c r="AZ75" s="10">
        <f t="shared" si="156"/>
        <v>-874719384.15301001</v>
      </c>
      <c r="BA75" s="10">
        <f t="shared" si="156"/>
        <v>-797761095.49968731</v>
      </c>
      <c r="BB75" s="10">
        <f t="shared" si="156"/>
        <v>-731693387.27359128</v>
      </c>
      <c r="BC75" s="10">
        <f t="shared" si="156"/>
        <v>-676458933.10349703</v>
      </c>
      <c r="BD75" s="10">
        <f t="shared" si="156"/>
        <v>-631881178.83079386</v>
      </c>
      <c r="BE75" s="10">
        <f t="shared" si="156"/>
        <v>-597674189.32397938</v>
      </c>
      <c r="BF75" s="10">
        <f t="shared" si="156"/>
        <v>-573452971.78311777</v>
      </c>
      <c r="BG75" s="10">
        <f t="shared" si="156"/>
        <v>-558743871.18399227</v>
      </c>
      <c r="BH75" s="10">
        <f t="shared" si="156"/>
        <v>-552994713.5764209</v>
      </c>
      <c r="BI75" s="10">
        <f t="shared" si="156"/>
        <v>-555584459.724401</v>
      </c>
      <c r="BJ75" s="10">
        <f t="shared" si="156"/>
        <v>-565832217.53150928</v>
      </c>
      <c r="BK75" s="10">
        <f t="shared" si="156"/>
        <v>-583005540.3610574</v>
      </c>
      <c r="BL75" s="10">
        <f t="shared" si="156"/>
        <v>-606328004.80912781</v>
      </c>
      <c r="BM75" s="10">
        <f t="shared" si="156"/>
        <v>-634986112.64170444</v>
      </c>
      <c r="BN75" s="10">
        <f t="shared" si="156"/>
        <v>-668135596.33671284</v>
      </c>
      <c r="BO75" s="10">
        <f t="shared" si="156"/>
        <v>-704907226.69839311</v>
      </c>
      <c r="BP75" s="10">
        <f t="shared" si="156"/>
        <v>-744412226.62065721</v>
      </c>
      <c r="BQ75" s="10">
        <f t="shared" si="156"/>
        <v>-785747390.69208455</v>
      </c>
      <c r="BR75" s="10">
        <f t="shared" si="156"/>
        <v>-827999999.99999988</v>
      </c>
      <c r="BT75" s="17"/>
      <c r="BU75" s="10">
        <f t="shared" si="157"/>
        <v>0.2679491924311227</v>
      </c>
      <c r="BV75" s="10">
        <f t="shared" si="158"/>
        <v>0.2679491924311227</v>
      </c>
      <c r="BW75" s="10">
        <f t="shared" si="159"/>
        <v>0.2679491924311227</v>
      </c>
      <c r="BX75" s="10">
        <f t="shared" si="160"/>
        <v>0.2679491924311227</v>
      </c>
      <c r="BY75" s="10">
        <f t="shared" si="161"/>
        <v>0.2679491924311227</v>
      </c>
      <c r="BZ75" s="10">
        <f t="shared" si="162"/>
        <v>0.2679491924311227</v>
      </c>
      <c r="CA75" s="10">
        <f t="shared" si="163"/>
        <v>0.2679491924311227</v>
      </c>
      <c r="CB75" s="10">
        <f t="shared" si="164"/>
        <v>0.2679491924311227</v>
      </c>
      <c r="CC75" s="10">
        <f t="shared" si="165"/>
        <v>0.2679491924311227</v>
      </c>
      <c r="CD75" s="10">
        <f t="shared" si="166"/>
        <v>0.2679491924311227</v>
      </c>
      <c r="CE75" s="10">
        <f t="shared" si="167"/>
        <v>0.2679491924311227</v>
      </c>
      <c r="CF75" s="10">
        <f t="shared" si="168"/>
        <v>0.2679491924311227</v>
      </c>
      <c r="CG75" s="10">
        <f t="shared" si="169"/>
        <v>0.2679491924311227</v>
      </c>
      <c r="CH75" s="10">
        <f t="shared" si="170"/>
        <v>0.2679491924311227</v>
      </c>
      <c r="CI75" s="10">
        <f t="shared" si="171"/>
        <v>0.2679491924311227</v>
      </c>
      <c r="CJ75" s="10">
        <f t="shared" si="172"/>
        <v>0.2679491924311227</v>
      </c>
      <c r="CK75" s="10">
        <f t="shared" si="173"/>
        <v>0.2679491924311227</v>
      </c>
      <c r="CL75" s="10">
        <f t="shared" si="174"/>
        <v>0.2679491924311227</v>
      </c>
      <c r="CM75" s="10">
        <f t="shared" si="175"/>
        <v>0.2679491924311227</v>
      </c>
      <c r="CN75" s="10">
        <f t="shared" si="176"/>
        <v>0.2679491924311227</v>
      </c>
      <c r="CO75" s="10">
        <f t="shared" si="177"/>
        <v>0.2679491924311227</v>
      </c>
      <c r="CP75" s="10">
        <f t="shared" si="178"/>
        <v>0.2679491924311227</v>
      </c>
      <c r="CQ75" s="10">
        <f t="shared" si="179"/>
        <v>0.2679491924311227</v>
      </c>
      <c r="CR75" s="10">
        <f t="shared" si="180"/>
        <v>0.2679491924311227</v>
      </c>
      <c r="CS75" s="10">
        <f t="shared" si="181"/>
        <v>0.2679491924311227</v>
      </c>
      <c r="CT75" s="10">
        <f t="shared" si="182"/>
        <v>0.2679491924311227</v>
      </c>
      <c r="CU75" s="10">
        <f t="shared" si="183"/>
        <v>0.2679491924311227</v>
      </c>
      <c r="CV75" s="10">
        <f t="shared" si="184"/>
        <v>0.2679491924311227</v>
      </c>
      <c r="CW75" s="10">
        <f t="shared" si="185"/>
        <v>0.2679491924311227</v>
      </c>
      <c r="CX75" s="10">
        <f t="shared" si="186"/>
        <v>0.2679491924311227</v>
      </c>
      <c r="CY75" s="10">
        <f t="shared" si="187"/>
        <v>0.2679491924311227</v>
      </c>
      <c r="DB75" s="17"/>
      <c r="DC75" s="10">
        <f t="shared" si="188"/>
        <v>219.6152422706632</v>
      </c>
      <c r="DD75" s="10">
        <f t="shared" si="189"/>
        <v>205.18250342611003</v>
      </c>
      <c r="DE75" s="10">
        <f t="shared" si="190"/>
        <v>190.87182594869876</v>
      </c>
      <c r="DF75" s="10">
        <f t="shared" si="191"/>
        <v>176.80305991527317</v>
      </c>
      <c r="DG75" s="10">
        <f t="shared" si="192"/>
        <v>163.09170647883548</v>
      </c>
      <c r="DH75" s="10">
        <f t="shared" si="193"/>
        <v>149.84692345751355</v>
      </c>
      <c r="DI75" s="10">
        <f t="shared" si="194"/>
        <v>137.16973583241915</v>
      </c>
      <c r="DJ75" s="10">
        <f t="shared" si="195"/>
        <v>125.15150175171841</v>
      </c>
      <c r="DK75" s="10">
        <f t="shared" si="196"/>
        <v>113.87267114383326</v>
      </c>
      <c r="DL75" s="10">
        <f t="shared" si="197"/>
        <v>103.40185910346634</v>
      </c>
      <c r="DM75" s="10">
        <f t="shared" si="198"/>
        <v>93.795240865179352</v>
      </c>
      <c r="DN75" s="10">
        <f t="shared" si="199"/>
        <v>85.096260444096131</v>
      </c>
      <c r="DO75" s="10">
        <f t="shared" si="200"/>
        <v>77.335631831565465</v>
      </c>
      <c r="DP75" s="10">
        <f t="shared" si="201"/>
        <v>70.53160074970755</v>
      </c>
      <c r="DQ75" s="10">
        <f t="shared" si="202"/>
        <v>64.690426937975829</v>
      </c>
      <c r="DR75" s="10">
        <f t="shared" si="203"/>
        <v>59.807042061062354</v>
      </c>
      <c r="DS75" s="10">
        <f t="shared" si="204"/>
        <v>55.865836624475477</v>
      </c>
      <c r="DT75" s="10">
        <f t="shared" si="205"/>
        <v>52.841530550446045</v>
      </c>
      <c r="DU75" s="10">
        <f t="shared" si="206"/>
        <v>50.700085881232376</v>
      </c>
      <c r="DV75" s="10">
        <f t="shared" si="207"/>
        <v>49.399625860435073</v>
      </c>
      <c r="DW75" s="10">
        <f t="shared" si="208"/>
        <v>48.891331721610996</v>
      </c>
      <c r="DX75" s="10">
        <f t="shared" si="209"/>
        <v>49.120296185261623</v>
      </c>
      <c r="DY75" s="10">
        <f t="shared" si="210"/>
        <v>50.026320264786243</v>
      </c>
      <c r="DZ75" s="10">
        <f t="shared" si="211"/>
        <v>51.544646937009887</v>
      </c>
      <c r="EA75" s="10">
        <f t="shared" si="212"/>
        <v>53.606631107747369</v>
      </c>
      <c r="EB75" s="10">
        <f t="shared" si="213"/>
        <v>56.14034982540845</v>
      </c>
      <c r="EC75" s="10">
        <f t="shared" si="214"/>
        <v>59.071159766159916</v>
      </c>
      <c r="ED75" s="10">
        <f t="shared" si="215"/>
        <v>62.32221069634015</v>
      </c>
      <c r="EE75" s="10">
        <f t="shared" si="216"/>
        <v>65.814924113743757</v>
      </c>
      <c r="EF75" s="10">
        <f t="shared" si="217"/>
        <v>69.469445881796943</v>
      </c>
      <c r="EG75" s="10">
        <f t="shared" si="218"/>
        <v>73.205080756887725</v>
      </c>
    </row>
    <row r="76" spans="6:137" x14ac:dyDescent="0.3">
      <c r="F76" s="17"/>
      <c r="G76" s="3">
        <v>300</v>
      </c>
      <c r="H76" s="2">
        <f t="shared" si="219"/>
        <v>280.28451209215393</v>
      </c>
      <c r="I76" s="2">
        <f t="shared" si="219"/>
        <v>260.73576311264429</v>
      </c>
      <c r="J76" s="2">
        <f t="shared" si="219"/>
        <v>241.51747131108533</v>
      </c>
      <c r="K76" s="2">
        <f t="shared" si="219"/>
        <v>222.78741419664436</v>
      </c>
      <c r="L76" s="2">
        <f t="shared" si="219"/>
        <v>204.69470412190583</v>
      </c>
      <c r="M76" s="2">
        <f t="shared" si="219"/>
        <v>187.37734377748515</v>
      </c>
      <c r="N76" s="2">
        <f t="shared" si="219"/>
        <v>170.96013071462002</v>
      </c>
      <c r="O76" s="2">
        <f t="shared" si="219"/>
        <v>155.55296157926742</v>
      </c>
      <c r="P76" s="2">
        <f t="shared" si="219"/>
        <v>141.24956633387424</v>
      </c>
      <c r="Q76" s="2">
        <f t="shared" si="219"/>
        <v>128.1266817759153</v>
      </c>
      <c r="R76" s="2">
        <f t="shared" si="219"/>
        <v>116.24365353369217</v>
      </c>
      <c r="S76" s="2">
        <f t="shared" si="219"/>
        <v>105.6424376996389</v>
      </c>
      <c r="T76" s="2">
        <f t="shared" si="219"/>
        <v>96.347958393682077</v>
      </c>
      <c r="U76" s="2">
        <f t="shared" si="219"/>
        <v>88.36876657893616</v>
      </c>
      <c r="V76" s="2">
        <f t="shared" si="219"/>
        <v>81.697938780615601</v>
      </c>
      <c r="W76" s="2">
        <f t="shared" si="219"/>
        <v>76.314152032704598</v>
      </c>
      <c r="X76" s="2">
        <f t="shared" si="219"/>
        <v>72.182873106760809</v>
      </c>
      <c r="Y76" s="2">
        <f t="shared" si="219"/>
        <v>69.257605287816176</v>
      </c>
      <c r="Z76" s="2">
        <f t="shared" si="219"/>
        <v>67.481143862801019</v>
      </c>
      <c r="AA76" s="2">
        <f t="shared" si="219"/>
        <v>66.786801156572594</v>
      </c>
      <c r="AB76" s="2">
        <f t="shared" si="219"/>
        <v>67.099572430483235</v>
      </c>
      <c r="AC76" s="2">
        <f t="shared" si="219"/>
        <v>68.337224339554268</v>
      </c>
      <c r="AD76" s="2">
        <f t="shared" si="219"/>
        <v>70.411297145055258</v>
      </c>
      <c r="AE76" s="2">
        <f t="shared" si="219"/>
        <v>73.228019904484043</v>
      </c>
      <c r="AF76" s="2">
        <f t="shared" si="219"/>
        <v>76.689144038853215</v>
      </c>
      <c r="AG76" s="2">
        <f t="shared" si="219"/>
        <v>80.692704871583686</v>
      </c>
      <c r="AH76" s="2">
        <f t="shared" si="219"/>
        <v>85.133723031206912</v>
      </c>
      <c r="AI76" s="2">
        <f t="shared" si="219"/>
        <v>89.904858287519005</v>
      </c>
      <c r="AJ76" s="2">
        <f t="shared" si="221"/>
        <v>94.897027861362872</v>
      </c>
      <c r="AK76" s="2">
        <v>100</v>
      </c>
      <c r="AM76" s="17"/>
      <c r="AN76" s="10">
        <f t="shared" si="220"/>
        <v>-2483999999.9999995</v>
      </c>
      <c r="AO76" s="10">
        <f t="shared" si="156"/>
        <v>-2320755760.123034</v>
      </c>
      <c r="AP76" s="10">
        <f t="shared" si="156"/>
        <v>-2158892118.5726943</v>
      </c>
      <c r="AQ76" s="10">
        <f t="shared" si="156"/>
        <v>-1999764662.4557862</v>
      </c>
      <c r="AR76" s="10">
        <f t="shared" si="156"/>
        <v>-1844679789.5482149</v>
      </c>
      <c r="AS76" s="10">
        <f t="shared" si="156"/>
        <v>-1694872150.12938</v>
      </c>
      <c r="AT76" s="10">
        <f t="shared" si="156"/>
        <v>-1551484406.4775767</v>
      </c>
      <c r="AU76" s="10">
        <f t="shared" si="156"/>
        <v>-1415549882.3170536</v>
      </c>
      <c r="AV76" s="10">
        <f t="shared" si="156"/>
        <v>-1287978521.876334</v>
      </c>
      <c r="AW76" s="10">
        <f t="shared" si="156"/>
        <v>-1169546409.2444785</v>
      </c>
      <c r="AX76" s="10">
        <f t="shared" si="156"/>
        <v>-1060888925.1045785</v>
      </c>
      <c r="AY76" s="10">
        <f t="shared" si="156"/>
        <v>-962497451.25897086</v>
      </c>
      <c r="AZ76" s="10">
        <f t="shared" si="156"/>
        <v>-874719384.15301001</v>
      </c>
      <c r="BA76" s="10">
        <f t="shared" si="156"/>
        <v>-797761095.49968731</v>
      </c>
      <c r="BB76" s="10">
        <f t="shared" si="156"/>
        <v>-731693387.27359128</v>
      </c>
      <c r="BC76" s="10">
        <f t="shared" si="156"/>
        <v>-676458933.10349703</v>
      </c>
      <c r="BD76" s="10">
        <f t="shared" si="156"/>
        <v>-631881178.83079386</v>
      </c>
      <c r="BE76" s="10">
        <f t="shared" si="156"/>
        <v>-597674189.32397938</v>
      </c>
      <c r="BF76" s="10">
        <f t="shared" si="156"/>
        <v>-573452971.78311777</v>
      </c>
      <c r="BG76" s="10">
        <f t="shared" si="156"/>
        <v>-558743871.18399227</v>
      </c>
      <c r="BH76" s="10">
        <f t="shared" si="156"/>
        <v>-552994713.5764209</v>
      </c>
      <c r="BI76" s="10">
        <f t="shared" si="156"/>
        <v>-555584459.724401</v>
      </c>
      <c r="BJ76" s="10">
        <f t="shared" si="156"/>
        <v>-565832217.53150928</v>
      </c>
      <c r="BK76" s="10">
        <f t="shared" si="156"/>
        <v>-583005540.3610574</v>
      </c>
      <c r="BL76" s="10">
        <f t="shared" si="156"/>
        <v>-606328004.80912781</v>
      </c>
      <c r="BM76" s="10">
        <f t="shared" si="156"/>
        <v>-634986112.64170444</v>
      </c>
      <c r="BN76" s="10">
        <f t="shared" si="156"/>
        <v>-668135596.33671284</v>
      </c>
      <c r="BO76" s="10">
        <f t="shared" si="156"/>
        <v>-704907226.69839311</v>
      </c>
      <c r="BP76" s="10">
        <f t="shared" si="156"/>
        <v>-744412226.62065721</v>
      </c>
      <c r="BQ76" s="10">
        <f t="shared" si="156"/>
        <v>-785747390.69208455</v>
      </c>
      <c r="BR76" s="10">
        <f t="shared" si="156"/>
        <v>-827999999.99999988</v>
      </c>
      <c r="BT76" s="17"/>
      <c r="BU76" s="10">
        <f t="shared" si="157"/>
        <v>0.2679491924311227</v>
      </c>
      <c r="BV76" s="10">
        <f t="shared" si="158"/>
        <v>0.2679491924311227</v>
      </c>
      <c r="BW76" s="10">
        <f t="shared" si="159"/>
        <v>0.2679491924311227</v>
      </c>
      <c r="BX76" s="10">
        <f t="shared" si="160"/>
        <v>0.2679491924311227</v>
      </c>
      <c r="BY76" s="10">
        <f t="shared" si="161"/>
        <v>0.2679491924311227</v>
      </c>
      <c r="BZ76" s="10">
        <f t="shared" si="162"/>
        <v>0.2679491924311227</v>
      </c>
      <c r="CA76" s="10">
        <f t="shared" si="163"/>
        <v>0.2679491924311227</v>
      </c>
      <c r="CB76" s="10">
        <f t="shared" si="164"/>
        <v>0.2679491924311227</v>
      </c>
      <c r="CC76" s="10">
        <f t="shared" si="165"/>
        <v>0.2679491924311227</v>
      </c>
      <c r="CD76" s="10">
        <f t="shared" si="166"/>
        <v>0.2679491924311227</v>
      </c>
      <c r="CE76" s="10">
        <f t="shared" si="167"/>
        <v>0.2679491924311227</v>
      </c>
      <c r="CF76" s="10">
        <f t="shared" si="168"/>
        <v>0.2679491924311227</v>
      </c>
      <c r="CG76" s="10">
        <f t="shared" si="169"/>
        <v>0.2679491924311227</v>
      </c>
      <c r="CH76" s="10">
        <f t="shared" si="170"/>
        <v>0.2679491924311227</v>
      </c>
      <c r="CI76" s="10">
        <f t="shared" si="171"/>
        <v>0.2679491924311227</v>
      </c>
      <c r="CJ76" s="10">
        <f t="shared" si="172"/>
        <v>0.2679491924311227</v>
      </c>
      <c r="CK76" s="10">
        <f t="shared" si="173"/>
        <v>0.2679491924311227</v>
      </c>
      <c r="CL76" s="10">
        <f t="shared" si="174"/>
        <v>0.2679491924311227</v>
      </c>
      <c r="CM76" s="10">
        <f t="shared" si="175"/>
        <v>0.2679491924311227</v>
      </c>
      <c r="CN76" s="10">
        <f t="shared" si="176"/>
        <v>0.2679491924311227</v>
      </c>
      <c r="CO76" s="10">
        <f t="shared" si="177"/>
        <v>0.2679491924311227</v>
      </c>
      <c r="CP76" s="10">
        <f t="shared" si="178"/>
        <v>0.2679491924311227</v>
      </c>
      <c r="CQ76" s="10">
        <f t="shared" si="179"/>
        <v>0.2679491924311227</v>
      </c>
      <c r="CR76" s="10">
        <f t="shared" si="180"/>
        <v>0.2679491924311227</v>
      </c>
      <c r="CS76" s="10">
        <f t="shared" si="181"/>
        <v>0.2679491924311227</v>
      </c>
      <c r="CT76" s="10">
        <f t="shared" si="182"/>
        <v>0.2679491924311227</v>
      </c>
      <c r="CU76" s="10">
        <f t="shared" si="183"/>
        <v>0.2679491924311227</v>
      </c>
      <c r="CV76" s="10">
        <f t="shared" si="184"/>
        <v>0.2679491924311227</v>
      </c>
      <c r="CW76" s="10">
        <f t="shared" si="185"/>
        <v>0.2679491924311227</v>
      </c>
      <c r="CX76" s="10">
        <f t="shared" si="186"/>
        <v>0.2679491924311227</v>
      </c>
      <c r="CY76" s="10">
        <f t="shared" si="187"/>
        <v>0.2679491924311227</v>
      </c>
      <c r="DB76" s="17"/>
      <c r="DC76" s="10">
        <f t="shared" si="188"/>
        <v>219.6152422706632</v>
      </c>
      <c r="DD76" s="10">
        <f t="shared" si="189"/>
        <v>205.18250342611003</v>
      </c>
      <c r="DE76" s="10">
        <f t="shared" si="190"/>
        <v>190.87182594869876</v>
      </c>
      <c r="DF76" s="10">
        <f t="shared" si="191"/>
        <v>176.80305991527317</v>
      </c>
      <c r="DG76" s="10">
        <f t="shared" si="192"/>
        <v>163.09170647883548</v>
      </c>
      <c r="DH76" s="10">
        <f t="shared" si="193"/>
        <v>149.84692345751355</v>
      </c>
      <c r="DI76" s="10">
        <f t="shared" si="194"/>
        <v>137.16973583241915</v>
      </c>
      <c r="DJ76" s="10">
        <f t="shared" si="195"/>
        <v>125.15150175171841</v>
      </c>
      <c r="DK76" s="10">
        <f t="shared" si="196"/>
        <v>113.87267114383326</v>
      </c>
      <c r="DL76" s="10">
        <f t="shared" si="197"/>
        <v>103.40185910346634</v>
      </c>
      <c r="DM76" s="10">
        <f t="shared" si="198"/>
        <v>93.795240865179352</v>
      </c>
      <c r="DN76" s="10">
        <f t="shared" si="199"/>
        <v>85.096260444096131</v>
      </c>
      <c r="DO76" s="10">
        <f t="shared" si="200"/>
        <v>77.335631831565465</v>
      </c>
      <c r="DP76" s="10">
        <f t="shared" si="201"/>
        <v>70.53160074970755</v>
      </c>
      <c r="DQ76" s="10">
        <f t="shared" si="202"/>
        <v>64.690426937975829</v>
      </c>
      <c r="DR76" s="10">
        <f t="shared" si="203"/>
        <v>59.807042061062354</v>
      </c>
      <c r="DS76" s="10">
        <f t="shared" si="204"/>
        <v>55.865836624475477</v>
      </c>
      <c r="DT76" s="10">
        <f t="shared" si="205"/>
        <v>52.841530550446045</v>
      </c>
      <c r="DU76" s="10">
        <f t="shared" si="206"/>
        <v>50.700085881232376</v>
      </c>
      <c r="DV76" s="10">
        <f t="shared" si="207"/>
        <v>49.399625860435073</v>
      </c>
      <c r="DW76" s="10">
        <f t="shared" si="208"/>
        <v>48.891331721610996</v>
      </c>
      <c r="DX76" s="10">
        <f t="shared" si="209"/>
        <v>49.120296185261623</v>
      </c>
      <c r="DY76" s="10">
        <f t="shared" si="210"/>
        <v>50.026320264786243</v>
      </c>
      <c r="DZ76" s="10">
        <f t="shared" si="211"/>
        <v>51.544646937009887</v>
      </c>
      <c r="EA76" s="10">
        <f t="shared" si="212"/>
        <v>53.606631107747369</v>
      </c>
      <c r="EB76" s="10">
        <f t="shared" si="213"/>
        <v>56.14034982540845</v>
      </c>
      <c r="EC76" s="10">
        <f t="shared" si="214"/>
        <v>59.071159766159916</v>
      </c>
      <c r="ED76" s="10">
        <f t="shared" si="215"/>
        <v>62.32221069634015</v>
      </c>
      <c r="EE76" s="10">
        <f t="shared" si="216"/>
        <v>65.814924113743757</v>
      </c>
      <c r="EF76" s="10">
        <f t="shared" si="217"/>
        <v>69.469445881796943</v>
      </c>
      <c r="EG76" s="10">
        <f t="shared" si="218"/>
        <v>73.205080756887725</v>
      </c>
    </row>
    <row r="77" spans="6:137" x14ac:dyDescent="0.3">
      <c r="F77" s="17"/>
      <c r="G77" s="3">
        <v>300</v>
      </c>
      <c r="H77" s="2">
        <f t="shared" si="219"/>
        <v>280.28451209215393</v>
      </c>
      <c r="I77" s="2">
        <f t="shared" si="219"/>
        <v>260.73576311264429</v>
      </c>
      <c r="J77" s="2">
        <f t="shared" si="219"/>
        <v>241.51747131108533</v>
      </c>
      <c r="K77" s="2">
        <f t="shared" si="219"/>
        <v>222.78741419664436</v>
      </c>
      <c r="L77" s="2">
        <f t="shared" si="219"/>
        <v>204.69470412190583</v>
      </c>
      <c r="M77" s="2">
        <f t="shared" si="219"/>
        <v>187.37734377748515</v>
      </c>
      <c r="N77" s="2">
        <f t="shared" si="219"/>
        <v>170.96013071462002</v>
      </c>
      <c r="O77" s="2">
        <f t="shared" si="219"/>
        <v>155.55296157926742</v>
      </c>
      <c r="P77" s="2">
        <f t="shared" si="219"/>
        <v>141.24956633387424</v>
      </c>
      <c r="Q77" s="2">
        <f t="shared" si="219"/>
        <v>128.1266817759153</v>
      </c>
      <c r="R77" s="2">
        <f t="shared" si="219"/>
        <v>116.24365353369217</v>
      </c>
      <c r="S77" s="2">
        <f t="shared" si="219"/>
        <v>105.6424376996389</v>
      </c>
      <c r="T77" s="2">
        <f t="shared" si="219"/>
        <v>96.347958393682077</v>
      </c>
      <c r="U77" s="2">
        <f t="shared" si="219"/>
        <v>88.36876657893616</v>
      </c>
      <c r="V77" s="2">
        <f t="shared" si="219"/>
        <v>81.697938780615601</v>
      </c>
      <c r="W77" s="2">
        <f t="shared" si="219"/>
        <v>76.314152032704598</v>
      </c>
      <c r="X77" s="2">
        <f t="shared" si="219"/>
        <v>72.182873106760809</v>
      </c>
      <c r="Y77" s="2">
        <f t="shared" si="219"/>
        <v>69.257605287816176</v>
      </c>
      <c r="Z77" s="2">
        <f t="shared" si="219"/>
        <v>67.481143862801019</v>
      </c>
      <c r="AA77" s="2">
        <f t="shared" si="219"/>
        <v>66.786801156572594</v>
      </c>
      <c r="AB77" s="2">
        <f t="shared" si="219"/>
        <v>67.099572430483235</v>
      </c>
      <c r="AC77" s="2">
        <f t="shared" si="219"/>
        <v>68.337224339554268</v>
      </c>
      <c r="AD77" s="2">
        <f t="shared" si="219"/>
        <v>70.411297145055258</v>
      </c>
      <c r="AE77" s="2">
        <f t="shared" si="219"/>
        <v>73.228019904484043</v>
      </c>
      <c r="AF77" s="2">
        <f t="shared" si="219"/>
        <v>76.689144038853215</v>
      </c>
      <c r="AG77" s="2">
        <f t="shared" si="219"/>
        <v>80.692704871583686</v>
      </c>
      <c r="AH77" s="2">
        <f t="shared" si="219"/>
        <v>85.133723031206912</v>
      </c>
      <c r="AI77" s="2">
        <f t="shared" si="219"/>
        <v>89.904858287519005</v>
      </c>
      <c r="AJ77" s="2">
        <f t="shared" si="221"/>
        <v>94.897027861362872</v>
      </c>
      <c r="AK77" s="2">
        <v>100</v>
      </c>
      <c r="AM77" s="17"/>
      <c r="AN77" s="10">
        <f t="shared" si="220"/>
        <v>-2483999999.9999995</v>
      </c>
      <c r="AO77" s="10">
        <f t="shared" si="156"/>
        <v>-2320755760.123034</v>
      </c>
      <c r="AP77" s="10">
        <f t="shared" si="156"/>
        <v>-2158892118.5726943</v>
      </c>
      <c r="AQ77" s="10">
        <f t="shared" si="156"/>
        <v>-1999764662.4557862</v>
      </c>
      <c r="AR77" s="10">
        <f t="shared" si="156"/>
        <v>-1844679789.5482149</v>
      </c>
      <c r="AS77" s="10">
        <f t="shared" si="156"/>
        <v>-1694872150.12938</v>
      </c>
      <c r="AT77" s="10">
        <f t="shared" si="156"/>
        <v>-1551484406.4775767</v>
      </c>
      <c r="AU77" s="10">
        <f t="shared" si="156"/>
        <v>-1415549882.3170536</v>
      </c>
      <c r="AV77" s="10">
        <f t="shared" si="156"/>
        <v>-1287978521.876334</v>
      </c>
      <c r="AW77" s="10">
        <f t="shared" si="156"/>
        <v>-1169546409.2444785</v>
      </c>
      <c r="AX77" s="10">
        <f t="shared" si="156"/>
        <v>-1060888925.1045785</v>
      </c>
      <c r="AY77" s="10">
        <f t="shared" si="156"/>
        <v>-962497451.25897086</v>
      </c>
      <c r="AZ77" s="10">
        <f t="shared" si="156"/>
        <v>-874719384.15301001</v>
      </c>
      <c r="BA77" s="10">
        <f t="shared" si="156"/>
        <v>-797761095.49968731</v>
      </c>
      <c r="BB77" s="10">
        <f t="shared" si="156"/>
        <v>-731693387.27359128</v>
      </c>
      <c r="BC77" s="10">
        <f t="shared" si="156"/>
        <v>-676458933.10349703</v>
      </c>
      <c r="BD77" s="10">
        <f t="shared" ref="BD77:BD99" si="222">-($B$9*$B$8*W43)/$B$6</f>
        <v>-631881178.83079386</v>
      </c>
      <c r="BE77" s="10">
        <f t="shared" ref="BE77:BE99" si="223">-($B$9*$B$8*X43)/$B$6</f>
        <v>-597674189.32397938</v>
      </c>
      <c r="BF77" s="10">
        <f t="shared" ref="BF77:BF99" si="224">-($B$9*$B$8*Y43)/$B$6</f>
        <v>-573452971.78311777</v>
      </c>
      <c r="BG77" s="10">
        <f t="shared" ref="BG77:BG99" si="225">-($B$9*$B$8*Z43)/$B$6</f>
        <v>-558743871.18399227</v>
      </c>
      <c r="BH77" s="10">
        <f t="shared" ref="BH77:BH99" si="226">-($B$9*$B$8*AA43)/$B$6</f>
        <v>-552994713.5764209</v>
      </c>
      <c r="BI77" s="10">
        <f t="shared" ref="BI77:BI99" si="227">-($B$9*$B$8*AB43)/$B$6</f>
        <v>-555584459.724401</v>
      </c>
      <c r="BJ77" s="10">
        <f t="shared" ref="BJ77:BJ99" si="228">-($B$9*$B$8*AC43)/$B$6</f>
        <v>-565832217.53150928</v>
      </c>
      <c r="BK77" s="10">
        <f t="shared" ref="BK77:BK99" si="229">-($B$9*$B$8*AD43)/$B$6</f>
        <v>-583005540.3610574</v>
      </c>
      <c r="BL77" s="10">
        <f t="shared" ref="BL77:BL99" si="230">-($B$9*$B$8*AE43)/$B$6</f>
        <v>-606328004.80912781</v>
      </c>
      <c r="BM77" s="10">
        <f t="shared" ref="BM77:BM99" si="231">-($B$9*$B$8*AF43)/$B$6</f>
        <v>-634986112.64170444</v>
      </c>
      <c r="BN77" s="10">
        <f t="shared" ref="BN77:BN99" si="232">-($B$9*$B$8*AG43)/$B$6</f>
        <v>-668135596.33671284</v>
      </c>
      <c r="BO77" s="10">
        <f t="shared" ref="BO77:BO99" si="233">-($B$9*$B$8*AH43)/$B$6</f>
        <v>-704907226.69839311</v>
      </c>
      <c r="BP77" s="10">
        <f t="shared" ref="BP77:BP99" si="234">-($B$9*$B$8*AI43)/$B$6</f>
        <v>-744412226.62065721</v>
      </c>
      <c r="BQ77" s="10">
        <f t="shared" ref="BQ77:BQ99" si="235">-($B$9*$B$8*AJ43)/$B$6</f>
        <v>-785747390.69208455</v>
      </c>
      <c r="BR77" s="10">
        <f t="shared" ref="BR77:BR99" si="236">-($B$9*$B$8*AK43)/$B$6</f>
        <v>-827999999.99999988</v>
      </c>
      <c r="BT77" s="17"/>
      <c r="BU77" s="10">
        <f t="shared" si="157"/>
        <v>0.2679491924311227</v>
      </c>
      <c r="BV77" s="10">
        <f t="shared" si="158"/>
        <v>0.2679491924311227</v>
      </c>
      <c r="BW77" s="10">
        <f t="shared" si="159"/>
        <v>0.2679491924311227</v>
      </c>
      <c r="BX77" s="10">
        <f t="shared" si="160"/>
        <v>0.2679491924311227</v>
      </c>
      <c r="BY77" s="10">
        <f t="shared" si="161"/>
        <v>0.2679491924311227</v>
      </c>
      <c r="BZ77" s="10">
        <f t="shared" si="162"/>
        <v>0.2679491924311227</v>
      </c>
      <c r="CA77" s="10">
        <f t="shared" si="163"/>
        <v>0.2679491924311227</v>
      </c>
      <c r="CB77" s="10">
        <f t="shared" si="164"/>
        <v>0.2679491924311227</v>
      </c>
      <c r="CC77" s="10">
        <f t="shared" si="165"/>
        <v>0.2679491924311227</v>
      </c>
      <c r="CD77" s="10">
        <f t="shared" si="166"/>
        <v>0.2679491924311227</v>
      </c>
      <c r="CE77" s="10">
        <f t="shared" si="167"/>
        <v>0.2679491924311227</v>
      </c>
      <c r="CF77" s="10">
        <f t="shared" si="168"/>
        <v>0.2679491924311227</v>
      </c>
      <c r="CG77" s="10">
        <f t="shared" si="169"/>
        <v>0.2679491924311227</v>
      </c>
      <c r="CH77" s="10">
        <f t="shared" si="170"/>
        <v>0.2679491924311227</v>
      </c>
      <c r="CI77" s="10">
        <f t="shared" si="171"/>
        <v>0.2679491924311227</v>
      </c>
      <c r="CJ77" s="10">
        <f t="shared" si="172"/>
        <v>0.2679491924311227</v>
      </c>
      <c r="CK77" s="10">
        <f t="shared" si="173"/>
        <v>0.2679491924311227</v>
      </c>
      <c r="CL77" s="10">
        <f t="shared" si="174"/>
        <v>0.2679491924311227</v>
      </c>
      <c r="CM77" s="10">
        <f t="shared" si="175"/>
        <v>0.2679491924311227</v>
      </c>
      <c r="CN77" s="10">
        <f t="shared" si="176"/>
        <v>0.2679491924311227</v>
      </c>
      <c r="CO77" s="10">
        <f t="shared" si="177"/>
        <v>0.2679491924311227</v>
      </c>
      <c r="CP77" s="10">
        <f t="shared" si="178"/>
        <v>0.2679491924311227</v>
      </c>
      <c r="CQ77" s="10">
        <f t="shared" si="179"/>
        <v>0.2679491924311227</v>
      </c>
      <c r="CR77" s="10">
        <f t="shared" si="180"/>
        <v>0.2679491924311227</v>
      </c>
      <c r="CS77" s="10">
        <f t="shared" si="181"/>
        <v>0.2679491924311227</v>
      </c>
      <c r="CT77" s="10">
        <f t="shared" si="182"/>
        <v>0.2679491924311227</v>
      </c>
      <c r="CU77" s="10">
        <f t="shared" si="183"/>
        <v>0.2679491924311227</v>
      </c>
      <c r="CV77" s="10">
        <f t="shared" si="184"/>
        <v>0.2679491924311227</v>
      </c>
      <c r="CW77" s="10">
        <f t="shared" si="185"/>
        <v>0.2679491924311227</v>
      </c>
      <c r="CX77" s="10">
        <f t="shared" si="186"/>
        <v>0.2679491924311227</v>
      </c>
      <c r="CY77" s="10">
        <f t="shared" si="187"/>
        <v>0.2679491924311227</v>
      </c>
      <c r="DB77" s="17"/>
      <c r="DC77" s="10">
        <f t="shared" si="188"/>
        <v>219.6152422706632</v>
      </c>
      <c r="DD77" s="10">
        <f t="shared" si="189"/>
        <v>205.18250342611003</v>
      </c>
      <c r="DE77" s="10">
        <f t="shared" si="190"/>
        <v>190.87182594869876</v>
      </c>
      <c r="DF77" s="10">
        <f t="shared" si="191"/>
        <v>176.80305991527317</v>
      </c>
      <c r="DG77" s="10">
        <f t="shared" si="192"/>
        <v>163.09170647883548</v>
      </c>
      <c r="DH77" s="10">
        <f t="shared" si="193"/>
        <v>149.84692345751355</v>
      </c>
      <c r="DI77" s="10">
        <f t="shared" si="194"/>
        <v>137.16973583241915</v>
      </c>
      <c r="DJ77" s="10">
        <f t="shared" si="195"/>
        <v>125.15150175171841</v>
      </c>
      <c r="DK77" s="10">
        <f t="shared" si="196"/>
        <v>113.87267114383326</v>
      </c>
      <c r="DL77" s="10">
        <f t="shared" si="197"/>
        <v>103.40185910346634</v>
      </c>
      <c r="DM77" s="10">
        <f t="shared" si="198"/>
        <v>93.795240865179352</v>
      </c>
      <c r="DN77" s="10">
        <f t="shared" si="199"/>
        <v>85.096260444096131</v>
      </c>
      <c r="DO77" s="10">
        <f t="shared" si="200"/>
        <v>77.335631831565465</v>
      </c>
      <c r="DP77" s="10">
        <f t="shared" si="201"/>
        <v>70.53160074970755</v>
      </c>
      <c r="DQ77" s="10">
        <f t="shared" si="202"/>
        <v>64.690426937975829</v>
      </c>
      <c r="DR77" s="10">
        <f t="shared" si="203"/>
        <v>59.807042061062354</v>
      </c>
      <c r="DS77" s="10">
        <f t="shared" si="204"/>
        <v>55.865836624475477</v>
      </c>
      <c r="DT77" s="10">
        <f t="shared" si="205"/>
        <v>52.841530550446045</v>
      </c>
      <c r="DU77" s="10">
        <f t="shared" si="206"/>
        <v>50.700085881232376</v>
      </c>
      <c r="DV77" s="10">
        <f t="shared" si="207"/>
        <v>49.399625860435073</v>
      </c>
      <c r="DW77" s="10">
        <f t="shared" si="208"/>
        <v>48.891331721610996</v>
      </c>
      <c r="DX77" s="10">
        <f t="shared" si="209"/>
        <v>49.120296185261623</v>
      </c>
      <c r="DY77" s="10">
        <f t="shared" si="210"/>
        <v>50.026320264786243</v>
      </c>
      <c r="DZ77" s="10">
        <f t="shared" si="211"/>
        <v>51.544646937009887</v>
      </c>
      <c r="EA77" s="10">
        <f t="shared" si="212"/>
        <v>53.606631107747369</v>
      </c>
      <c r="EB77" s="10">
        <f t="shared" si="213"/>
        <v>56.14034982540845</v>
      </c>
      <c r="EC77" s="10">
        <f t="shared" si="214"/>
        <v>59.071159766159916</v>
      </c>
      <c r="ED77" s="10">
        <f t="shared" si="215"/>
        <v>62.32221069634015</v>
      </c>
      <c r="EE77" s="10">
        <f t="shared" si="216"/>
        <v>65.814924113743757</v>
      </c>
      <c r="EF77" s="10">
        <f t="shared" si="217"/>
        <v>69.469445881796943</v>
      </c>
      <c r="EG77" s="10">
        <f t="shared" si="218"/>
        <v>73.205080756887725</v>
      </c>
    </row>
    <row r="78" spans="6:137" x14ac:dyDescent="0.3">
      <c r="F78" s="17"/>
      <c r="G78" s="3">
        <v>300</v>
      </c>
      <c r="H78" s="2">
        <f t="shared" si="219"/>
        <v>280.28451209215393</v>
      </c>
      <c r="I78" s="2">
        <f t="shared" si="219"/>
        <v>260.73576311264429</v>
      </c>
      <c r="J78" s="2">
        <f t="shared" si="219"/>
        <v>241.51747131108533</v>
      </c>
      <c r="K78" s="2">
        <f t="shared" si="219"/>
        <v>222.78741419664436</v>
      </c>
      <c r="L78" s="2">
        <f t="shared" si="219"/>
        <v>204.69470412190583</v>
      </c>
      <c r="M78" s="2">
        <f t="shared" si="219"/>
        <v>187.37734377748515</v>
      </c>
      <c r="N78" s="2">
        <f t="shared" si="219"/>
        <v>170.96013071462002</v>
      </c>
      <c r="O78" s="2">
        <f t="shared" si="219"/>
        <v>155.55296157926742</v>
      </c>
      <c r="P78" s="2">
        <f t="shared" si="219"/>
        <v>141.24956633387424</v>
      </c>
      <c r="Q78" s="2">
        <f t="shared" si="219"/>
        <v>128.1266817759153</v>
      </c>
      <c r="R78" s="2">
        <f t="shared" si="219"/>
        <v>116.24365353369217</v>
      </c>
      <c r="S78" s="2">
        <f t="shared" si="219"/>
        <v>105.6424376996389</v>
      </c>
      <c r="T78" s="2">
        <f t="shared" si="219"/>
        <v>96.347958393682077</v>
      </c>
      <c r="U78" s="2">
        <f t="shared" si="219"/>
        <v>88.36876657893616</v>
      </c>
      <c r="V78" s="2">
        <f t="shared" si="219"/>
        <v>81.697938780615601</v>
      </c>
      <c r="W78" s="2">
        <f t="shared" si="219"/>
        <v>76.314152032704598</v>
      </c>
      <c r="X78" s="2">
        <f t="shared" si="219"/>
        <v>72.182873106760809</v>
      </c>
      <c r="Y78" s="2">
        <f t="shared" si="219"/>
        <v>69.257605287816176</v>
      </c>
      <c r="Z78" s="2">
        <f t="shared" si="219"/>
        <v>67.481143862801019</v>
      </c>
      <c r="AA78" s="2">
        <f t="shared" si="219"/>
        <v>66.786801156572594</v>
      </c>
      <c r="AB78" s="2">
        <f t="shared" si="219"/>
        <v>67.099572430483235</v>
      </c>
      <c r="AC78" s="2">
        <f t="shared" si="219"/>
        <v>68.337224339554268</v>
      </c>
      <c r="AD78" s="2">
        <f t="shared" si="219"/>
        <v>70.411297145055258</v>
      </c>
      <c r="AE78" s="2">
        <f t="shared" si="219"/>
        <v>73.228019904484043</v>
      </c>
      <c r="AF78" s="2">
        <f t="shared" si="219"/>
        <v>76.689144038853215</v>
      </c>
      <c r="AG78" s="2">
        <f t="shared" si="219"/>
        <v>80.692704871583686</v>
      </c>
      <c r="AH78" s="2">
        <f t="shared" si="219"/>
        <v>85.133723031206912</v>
      </c>
      <c r="AI78" s="2">
        <f t="shared" si="219"/>
        <v>89.904858287519005</v>
      </c>
      <c r="AJ78" s="2">
        <f t="shared" si="221"/>
        <v>94.897027861362872</v>
      </c>
      <c r="AK78" s="2">
        <v>100</v>
      </c>
      <c r="AM78" s="17"/>
      <c r="AN78" s="10">
        <f t="shared" si="220"/>
        <v>-2483999999.9999995</v>
      </c>
      <c r="AO78" s="10">
        <f t="shared" ref="AO78:AO99" si="237">-($B$9*$B$8*H44)/$B$6</f>
        <v>-2320755760.123034</v>
      </c>
      <c r="AP78" s="10">
        <f t="shared" ref="AP78:AP99" si="238">-($B$9*$B$8*I44)/$B$6</f>
        <v>-2158892118.5726943</v>
      </c>
      <c r="AQ78" s="10">
        <f t="shared" ref="AQ78:AQ99" si="239">-($B$9*$B$8*J44)/$B$6</f>
        <v>-1999764662.4557862</v>
      </c>
      <c r="AR78" s="10">
        <f t="shared" ref="AR78:AR99" si="240">-($B$9*$B$8*K44)/$B$6</f>
        <v>-1844679789.5482149</v>
      </c>
      <c r="AS78" s="10">
        <f t="shared" ref="AS78:AS99" si="241">-($B$9*$B$8*L44)/$B$6</f>
        <v>-1694872150.12938</v>
      </c>
      <c r="AT78" s="10">
        <f t="shared" ref="AT78:AT99" si="242">-($B$9*$B$8*M44)/$B$6</f>
        <v>-1551484406.4775767</v>
      </c>
      <c r="AU78" s="10">
        <f t="shared" ref="AU78:AU99" si="243">-($B$9*$B$8*N44)/$B$6</f>
        <v>-1415549882.3170536</v>
      </c>
      <c r="AV78" s="10">
        <f t="shared" ref="AV78:AV99" si="244">-($B$9*$B$8*O44)/$B$6</f>
        <v>-1287978521.876334</v>
      </c>
      <c r="AW78" s="10">
        <f t="shared" ref="AW78:AW99" si="245">-($B$9*$B$8*P44)/$B$6</f>
        <v>-1169546409.2444785</v>
      </c>
      <c r="AX78" s="10">
        <f t="shared" ref="AX78:AX99" si="246">-($B$9*$B$8*Q44)/$B$6</f>
        <v>-1060888925.1045785</v>
      </c>
      <c r="AY78" s="10">
        <f t="shared" ref="AY78:AY99" si="247">-($B$9*$B$8*R44)/$B$6</f>
        <v>-962497451.25897086</v>
      </c>
      <c r="AZ78" s="10">
        <f t="shared" ref="AZ78:AZ99" si="248">-($B$9*$B$8*S44)/$B$6</f>
        <v>-874719384.15301001</v>
      </c>
      <c r="BA78" s="10">
        <f t="shared" ref="BA78:BA99" si="249">-($B$9*$B$8*T44)/$B$6</f>
        <v>-797761095.49968731</v>
      </c>
      <c r="BB78" s="10">
        <f t="shared" ref="BB78:BB99" si="250">-($B$9*$B$8*U44)/$B$6</f>
        <v>-731693387.27359128</v>
      </c>
      <c r="BC78" s="10">
        <f t="shared" ref="BC78:BC99" si="251">-($B$9*$B$8*V44)/$B$6</f>
        <v>-676458933.10349703</v>
      </c>
      <c r="BD78" s="10">
        <f t="shared" si="222"/>
        <v>-631881178.83079386</v>
      </c>
      <c r="BE78" s="10">
        <f t="shared" si="223"/>
        <v>-597674189.32397938</v>
      </c>
      <c r="BF78" s="10">
        <f t="shared" si="224"/>
        <v>-573452971.78311777</v>
      </c>
      <c r="BG78" s="10">
        <f t="shared" si="225"/>
        <v>-558743871.18399227</v>
      </c>
      <c r="BH78" s="10">
        <f t="shared" si="226"/>
        <v>-552994713.5764209</v>
      </c>
      <c r="BI78" s="10">
        <f t="shared" si="227"/>
        <v>-555584459.724401</v>
      </c>
      <c r="BJ78" s="10">
        <f t="shared" si="228"/>
        <v>-565832217.53150928</v>
      </c>
      <c r="BK78" s="10">
        <f t="shared" si="229"/>
        <v>-583005540.3610574</v>
      </c>
      <c r="BL78" s="10">
        <f t="shared" si="230"/>
        <v>-606328004.80912781</v>
      </c>
      <c r="BM78" s="10">
        <f t="shared" si="231"/>
        <v>-634986112.64170444</v>
      </c>
      <c r="BN78" s="10">
        <f t="shared" si="232"/>
        <v>-668135596.33671284</v>
      </c>
      <c r="BO78" s="10">
        <f t="shared" si="233"/>
        <v>-704907226.69839311</v>
      </c>
      <c r="BP78" s="10">
        <f t="shared" si="234"/>
        <v>-744412226.62065721</v>
      </c>
      <c r="BQ78" s="10">
        <f t="shared" si="235"/>
        <v>-785747390.69208455</v>
      </c>
      <c r="BR78" s="10">
        <f t="shared" si="236"/>
        <v>-827999999.99999988</v>
      </c>
      <c r="BT78" s="17"/>
      <c r="BU78" s="10">
        <f t="shared" si="157"/>
        <v>0.2679491924311227</v>
      </c>
      <c r="BV78" s="10">
        <f t="shared" si="158"/>
        <v>0.2679491924311227</v>
      </c>
      <c r="BW78" s="10">
        <f t="shared" si="159"/>
        <v>0.2679491924311227</v>
      </c>
      <c r="BX78" s="10">
        <f t="shared" si="160"/>
        <v>0.2679491924311227</v>
      </c>
      <c r="BY78" s="10">
        <f t="shared" si="161"/>
        <v>0.2679491924311227</v>
      </c>
      <c r="BZ78" s="10">
        <f t="shared" si="162"/>
        <v>0.2679491924311227</v>
      </c>
      <c r="CA78" s="10">
        <f t="shared" si="163"/>
        <v>0.2679491924311227</v>
      </c>
      <c r="CB78" s="10">
        <f t="shared" si="164"/>
        <v>0.2679491924311227</v>
      </c>
      <c r="CC78" s="10">
        <f t="shared" si="165"/>
        <v>0.2679491924311227</v>
      </c>
      <c r="CD78" s="10">
        <f t="shared" si="166"/>
        <v>0.2679491924311227</v>
      </c>
      <c r="CE78" s="10">
        <f t="shared" si="167"/>
        <v>0.2679491924311227</v>
      </c>
      <c r="CF78" s="10">
        <f t="shared" si="168"/>
        <v>0.2679491924311227</v>
      </c>
      <c r="CG78" s="10">
        <f t="shared" si="169"/>
        <v>0.2679491924311227</v>
      </c>
      <c r="CH78" s="10">
        <f t="shared" si="170"/>
        <v>0.2679491924311227</v>
      </c>
      <c r="CI78" s="10">
        <f t="shared" si="171"/>
        <v>0.2679491924311227</v>
      </c>
      <c r="CJ78" s="10">
        <f t="shared" si="172"/>
        <v>0.2679491924311227</v>
      </c>
      <c r="CK78" s="10">
        <f t="shared" si="173"/>
        <v>0.2679491924311227</v>
      </c>
      <c r="CL78" s="10">
        <f t="shared" si="174"/>
        <v>0.2679491924311227</v>
      </c>
      <c r="CM78" s="10">
        <f t="shared" si="175"/>
        <v>0.2679491924311227</v>
      </c>
      <c r="CN78" s="10">
        <f t="shared" si="176"/>
        <v>0.2679491924311227</v>
      </c>
      <c r="CO78" s="10">
        <f t="shared" si="177"/>
        <v>0.2679491924311227</v>
      </c>
      <c r="CP78" s="10">
        <f t="shared" si="178"/>
        <v>0.2679491924311227</v>
      </c>
      <c r="CQ78" s="10">
        <f t="shared" si="179"/>
        <v>0.2679491924311227</v>
      </c>
      <c r="CR78" s="10">
        <f t="shared" si="180"/>
        <v>0.2679491924311227</v>
      </c>
      <c r="CS78" s="10">
        <f t="shared" si="181"/>
        <v>0.2679491924311227</v>
      </c>
      <c r="CT78" s="10">
        <f t="shared" si="182"/>
        <v>0.2679491924311227</v>
      </c>
      <c r="CU78" s="10">
        <f t="shared" si="183"/>
        <v>0.2679491924311227</v>
      </c>
      <c r="CV78" s="10">
        <f t="shared" si="184"/>
        <v>0.2679491924311227</v>
      </c>
      <c r="CW78" s="10">
        <f t="shared" si="185"/>
        <v>0.2679491924311227</v>
      </c>
      <c r="CX78" s="10">
        <f t="shared" si="186"/>
        <v>0.2679491924311227</v>
      </c>
      <c r="CY78" s="10">
        <f t="shared" si="187"/>
        <v>0.2679491924311227</v>
      </c>
      <c r="DB78" s="17"/>
      <c r="DC78" s="10">
        <f t="shared" si="188"/>
        <v>219.6152422706632</v>
      </c>
      <c r="DD78" s="10">
        <f t="shared" si="189"/>
        <v>205.18250342611003</v>
      </c>
      <c r="DE78" s="10">
        <f t="shared" si="190"/>
        <v>190.87182594869876</v>
      </c>
      <c r="DF78" s="10">
        <f t="shared" si="191"/>
        <v>176.80305991527317</v>
      </c>
      <c r="DG78" s="10">
        <f t="shared" si="192"/>
        <v>163.09170647883548</v>
      </c>
      <c r="DH78" s="10">
        <f t="shared" si="193"/>
        <v>149.84692345751355</v>
      </c>
      <c r="DI78" s="10">
        <f t="shared" si="194"/>
        <v>137.16973583241915</v>
      </c>
      <c r="DJ78" s="10">
        <f t="shared" si="195"/>
        <v>125.15150175171841</v>
      </c>
      <c r="DK78" s="10">
        <f t="shared" si="196"/>
        <v>113.87267114383326</v>
      </c>
      <c r="DL78" s="10">
        <f t="shared" si="197"/>
        <v>103.40185910346634</v>
      </c>
      <c r="DM78" s="10">
        <f t="shared" si="198"/>
        <v>93.795240865179352</v>
      </c>
      <c r="DN78" s="10">
        <f t="shared" si="199"/>
        <v>85.096260444096131</v>
      </c>
      <c r="DO78" s="10">
        <f t="shared" si="200"/>
        <v>77.335631831565465</v>
      </c>
      <c r="DP78" s="10">
        <f t="shared" si="201"/>
        <v>70.53160074970755</v>
      </c>
      <c r="DQ78" s="10">
        <f t="shared" si="202"/>
        <v>64.690426937975829</v>
      </c>
      <c r="DR78" s="10">
        <f t="shared" si="203"/>
        <v>59.807042061062354</v>
      </c>
      <c r="DS78" s="10">
        <f t="shared" si="204"/>
        <v>55.865836624475477</v>
      </c>
      <c r="DT78" s="10">
        <f t="shared" si="205"/>
        <v>52.841530550446045</v>
      </c>
      <c r="DU78" s="10">
        <f t="shared" si="206"/>
        <v>50.700085881232376</v>
      </c>
      <c r="DV78" s="10">
        <f t="shared" si="207"/>
        <v>49.399625860435073</v>
      </c>
      <c r="DW78" s="10">
        <f t="shared" si="208"/>
        <v>48.891331721610996</v>
      </c>
      <c r="DX78" s="10">
        <f t="shared" si="209"/>
        <v>49.120296185261623</v>
      </c>
      <c r="DY78" s="10">
        <f t="shared" si="210"/>
        <v>50.026320264786243</v>
      </c>
      <c r="DZ78" s="10">
        <f t="shared" si="211"/>
        <v>51.544646937009887</v>
      </c>
      <c r="EA78" s="10">
        <f t="shared" si="212"/>
        <v>53.606631107747369</v>
      </c>
      <c r="EB78" s="10">
        <f t="shared" si="213"/>
        <v>56.14034982540845</v>
      </c>
      <c r="EC78" s="10">
        <f t="shared" si="214"/>
        <v>59.071159766159916</v>
      </c>
      <c r="ED78" s="10">
        <f t="shared" si="215"/>
        <v>62.32221069634015</v>
      </c>
      <c r="EE78" s="10">
        <f t="shared" si="216"/>
        <v>65.814924113743757</v>
      </c>
      <c r="EF78" s="10">
        <f t="shared" si="217"/>
        <v>69.469445881796943</v>
      </c>
      <c r="EG78" s="10">
        <f t="shared" si="218"/>
        <v>73.205080756887725</v>
      </c>
    </row>
    <row r="79" spans="6:137" x14ac:dyDescent="0.3">
      <c r="F79" s="17"/>
      <c r="G79" s="3">
        <v>300</v>
      </c>
      <c r="H79" s="2">
        <f t="shared" si="219"/>
        <v>280.28451209215393</v>
      </c>
      <c r="I79" s="2">
        <f t="shared" si="219"/>
        <v>260.73576311264429</v>
      </c>
      <c r="J79" s="2">
        <f t="shared" si="219"/>
        <v>241.51747131108533</v>
      </c>
      <c r="K79" s="2">
        <f t="shared" ref="K79:K99" si="252">BY79*K78+DG79</f>
        <v>222.78741419664436</v>
      </c>
      <c r="L79" s="2">
        <f t="shared" ref="L79:L99" si="253">BZ79*L78+DH79</f>
        <v>204.69470412190583</v>
      </c>
      <c r="M79" s="2">
        <f t="shared" ref="M79:M99" si="254">CA79*M78+DI79</f>
        <v>187.37734377748515</v>
      </c>
      <c r="N79" s="2">
        <f t="shared" ref="N79:N99" si="255">CB79*N78+DJ79</f>
        <v>170.96013071462002</v>
      </c>
      <c r="O79" s="2">
        <f t="shared" ref="O79:O99" si="256">CC79*O78+DK79</f>
        <v>155.55296157926742</v>
      </c>
      <c r="P79" s="2">
        <f t="shared" ref="P79:P99" si="257">CD79*P78+DL79</f>
        <v>141.24956633387424</v>
      </c>
      <c r="Q79" s="2">
        <f t="shared" ref="Q79:Q99" si="258">CE79*Q78+DM79</f>
        <v>128.1266817759153</v>
      </c>
      <c r="R79" s="2">
        <f t="shared" ref="R79:R99" si="259">CF79*R78+DN79</f>
        <v>116.24365353369217</v>
      </c>
      <c r="S79" s="2">
        <f t="shared" ref="S79:S99" si="260">CG79*S78+DO79</f>
        <v>105.6424376996389</v>
      </c>
      <c r="T79" s="2">
        <f t="shared" ref="T79:T99" si="261">CH79*T78+DP79</f>
        <v>96.347958393682077</v>
      </c>
      <c r="U79" s="2">
        <f t="shared" ref="U79:U99" si="262">CI79*U78+DQ79</f>
        <v>88.36876657893616</v>
      </c>
      <c r="V79" s="2">
        <f t="shared" ref="V79:V99" si="263">CJ79*V78+DR79</f>
        <v>81.697938780615601</v>
      </c>
      <c r="W79" s="2">
        <f t="shared" ref="W79:W99" si="264">CK79*W78+DS79</f>
        <v>76.314152032704598</v>
      </c>
      <c r="X79" s="2">
        <f t="shared" ref="X79:X99" si="265">CL79*X78+DT79</f>
        <v>72.182873106760809</v>
      </c>
      <c r="Y79" s="2">
        <f t="shared" ref="Y79:Y99" si="266">CM79*Y78+DU79</f>
        <v>69.257605287816176</v>
      </c>
      <c r="Z79" s="2">
        <f t="shared" ref="Z79:Z99" si="267">CN79*Z78+DV79</f>
        <v>67.481143862801019</v>
      </c>
      <c r="AA79" s="2">
        <f t="shared" ref="AA79:AA99" si="268">CO79*AA78+DW79</f>
        <v>66.786801156572594</v>
      </c>
      <c r="AB79" s="2">
        <f t="shared" ref="AB79:AB99" si="269">CP79*AB78+DX79</f>
        <v>67.099572430483235</v>
      </c>
      <c r="AC79" s="2">
        <f t="shared" ref="AC79:AC99" si="270">CQ79*AC78+DY79</f>
        <v>68.337224339554268</v>
      </c>
      <c r="AD79" s="2">
        <f t="shared" ref="AD79:AD99" si="271">CR79*AD78+DZ79</f>
        <v>70.411297145055258</v>
      </c>
      <c r="AE79" s="2">
        <f t="shared" ref="AE79:AE99" si="272">CS79*AE78+EA79</f>
        <v>73.228019904484043</v>
      </c>
      <c r="AF79" s="2">
        <f t="shared" ref="AF79:AF99" si="273">CT79*AF78+EB79</f>
        <v>76.689144038853215</v>
      </c>
      <c r="AG79" s="2">
        <f t="shared" ref="AG79:AG99" si="274">CU79*AG78+EC79</f>
        <v>80.692704871583686</v>
      </c>
      <c r="AH79" s="2">
        <f t="shared" ref="AH79:AH99" si="275">CV79*AH78+ED79</f>
        <v>85.133723031206912</v>
      </c>
      <c r="AI79" s="2">
        <f t="shared" ref="AI79:AI99" si="276">CW79*AI78+EE79</f>
        <v>89.904858287519005</v>
      </c>
      <c r="AJ79" s="2">
        <f t="shared" si="221"/>
        <v>94.897027861362872</v>
      </c>
      <c r="AK79" s="2">
        <v>100</v>
      </c>
      <c r="AM79" s="17"/>
      <c r="AN79" s="10">
        <f t="shared" si="220"/>
        <v>-2483999999.9999995</v>
      </c>
      <c r="AO79" s="10">
        <f t="shared" si="237"/>
        <v>-2320755760.123034</v>
      </c>
      <c r="AP79" s="10">
        <f t="shared" si="238"/>
        <v>-2158892118.5726943</v>
      </c>
      <c r="AQ79" s="10">
        <f t="shared" si="239"/>
        <v>-1999764662.4557862</v>
      </c>
      <c r="AR79" s="10">
        <f t="shared" si="240"/>
        <v>-1844679789.5482149</v>
      </c>
      <c r="AS79" s="10">
        <f t="shared" si="241"/>
        <v>-1694872150.12938</v>
      </c>
      <c r="AT79" s="10">
        <f t="shared" si="242"/>
        <v>-1551484406.4775767</v>
      </c>
      <c r="AU79" s="10">
        <f t="shared" si="243"/>
        <v>-1415549882.3170536</v>
      </c>
      <c r="AV79" s="10">
        <f t="shared" si="244"/>
        <v>-1287978521.876334</v>
      </c>
      <c r="AW79" s="10">
        <f t="shared" si="245"/>
        <v>-1169546409.2444785</v>
      </c>
      <c r="AX79" s="10">
        <f t="shared" si="246"/>
        <v>-1060888925.1045785</v>
      </c>
      <c r="AY79" s="10">
        <f t="shared" si="247"/>
        <v>-962497451.25897086</v>
      </c>
      <c r="AZ79" s="10">
        <f t="shared" si="248"/>
        <v>-874719384.15301001</v>
      </c>
      <c r="BA79" s="10">
        <f t="shared" si="249"/>
        <v>-797761095.49968731</v>
      </c>
      <c r="BB79" s="10">
        <f t="shared" si="250"/>
        <v>-731693387.27359128</v>
      </c>
      <c r="BC79" s="10">
        <f t="shared" si="251"/>
        <v>-676458933.10349703</v>
      </c>
      <c r="BD79" s="10">
        <f t="shared" si="222"/>
        <v>-631881178.83079386</v>
      </c>
      <c r="BE79" s="10">
        <f t="shared" si="223"/>
        <v>-597674189.32397938</v>
      </c>
      <c r="BF79" s="10">
        <f t="shared" si="224"/>
        <v>-573452971.78311777</v>
      </c>
      <c r="BG79" s="10">
        <f t="shared" si="225"/>
        <v>-558743871.18399227</v>
      </c>
      <c r="BH79" s="10">
        <f t="shared" si="226"/>
        <v>-552994713.5764209</v>
      </c>
      <c r="BI79" s="10">
        <f t="shared" si="227"/>
        <v>-555584459.724401</v>
      </c>
      <c r="BJ79" s="10">
        <f t="shared" si="228"/>
        <v>-565832217.53150928</v>
      </c>
      <c r="BK79" s="10">
        <f t="shared" si="229"/>
        <v>-583005540.3610574</v>
      </c>
      <c r="BL79" s="10">
        <f t="shared" si="230"/>
        <v>-606328004.80912781</v>
      </c>
      <c r="BM79" s="10">
        <f t="shared" si="231"/>
        <v>-634986112.64170444</v>
      </c>
      <c r="BN79" s="10">
        <f t="shared" si="232"/>
        <v>-668135596.33671284</v>
      </c>
      <c r="BO79" s="10">
        <f t="shared" si="233"/>
        <v>-704907226.69839311</v>
      </c>
      <c r="BP79" s="10">
        <f t="shared" si="234"/>
        <v>-744412226.62065721</v>
      </c>
      <c r="BQ79" s="10">
        <f t="shared" si="235"/>
        <v>-785747390.69208455</v>
      </c>
      <c r="BR79" s="10">
        <f t="shared" si="236"/>
        <v>-827999999.99999988</v>
      </c>
      <c r="BT79" s="17"/>
      <c r="BU79" s="10">
        <f t="shared" si="157"/>
        <v>0.2679491924311227</v>
      </c>
      <c r="BV79" s="10">
        <f t="shared" si="158"/>
        <v>0.2679491924311227</v>
      </c>
      <c r="BW79" s="10">
        <f t="shared" si="159"/>
        <v>0.2679491924311227</v>
      </c>
      <c r="BX79" s="10">
        <f t="shared" si="160"/>
        <v>0.2679491924311227</v>
      </c>
      <c r="BY79" s="10">
        <f t="shared" si="161"/>
        <v>0.2679491924311227</v>
      </c>
      <c r="BZ79" s="10">
        <f t="shared" si="162"/>
        <v>0.2679491924311227</v>
      </c>
      <c r="CA79" s="10">
        <f t="shared" si="163"/>
        <v>0.2679491924311227</v>
      </c>
      <c r="CB79" s="10">
        <f t="shared" si="164"/>
        <v>0.2679491924311227</v>
      </c>
      <c r="CC79" s="10">
        <f t="shared" si="165"/>
        <v>0.2679491924311227</v>
      </c>
      <c r="CD79" s="10">
        <f t="shared" si="166"/>
        <v>0.2679491924311227</v>
      </c>
      <c r="CE79" s="10">
        <f t="shared" si="167"/>
        <v>0.2679491924311227</v>
      </c>
      <c r="CF79" s="10">
        <f t="shared" si="168"/>
        <v>0.2679491924311227</v>
      </c>
      <c r="CG79" s="10">
        <f t="shared" si="169"/>
        <v>0.2679491924311227</v>
      </c>
      <c r="CH79" s="10">
        <f t="shared" si="170"/>
        <v>0.2679491924311227</v>
      </c>
      <c r="CI79" s="10">
        <f t="shared" si="171"/>
        <v>0.2679491924311227</v>
      </c>
      <c r="CJ79" s="10">
        <f t="shared" si="172"/>
        <v>0.2679491924311227</v>
      </c>
      <c r="CK79" s="10">
        <f t="shared" si="173"/>
        <v>0.2679491924311227</v>
      </c>
      <c r="CL79" s="10">
        <f t="shared" si="174"/>
        <v>0.2679491924311227</v>
      </c>
      <c r="CM79" s="10">
        <f t="shared" si="175"/>
        <v>0.2679491924311227</v>
      </c>
      <c r="CN79" s="10">
        <f t="shared" si="176"/>
        <v>0.2679491924311227</v>
      </c>
      <c r="CO79" s="10">
        <f t="shared" si="177"/>
        <v>0.2679491924311227</v>
      </c>
      <c r="CP79" s="10">
        <f t="shared" si="178"/>
        <v>0.2679491924311227</v>
      </c>
      <c r="CQ79" s="10">
        <f t="shared" si="179"/>
        <v>0.2679491924311227</v>
      </c>
      <c r="CR79" s="10">
        <f t="shared" si="180"/>
        <v>0.2679491924311227</v>
      </c>
      <c r="CS79" s="10">
        <f t="shared" si="181"/>
        <v>0.2679491924311227</v>
      </c>
      <c r="CT79" s="10">
        <f t="shared" si="182"/>
        <v>0.2679491924311227</v>
      </c>
      <c r="CU79" s="10">
        <f t="shared" si="183"/>
        <v>0.2679491924311227</v>
      </c>
      <c r="CV79" s="10">
        <f t="shared" si="184"/>
        <v>0.2679491924311227</v>
      </c>
      <c r="CW79" s="10">
        <f t="shared" si="185"/>
        <v>0.2679491924311227</v>
      </c>
      <c r="CX79" s="10">
        <f t="shared" si="186"/>
        <v>0.2679491924311227</v>
      </c>
      <c r="CY79" s="10">
        <f t="shared" si="187"/>
        <v>0.2679491924311227</v>
      </c>
      <c r="DB79" s="17"/>
      <c r="DC79" s="10">
        <f t="shared" si="188"/>
        <v>219.6152422706632</v>
      </c>
      <c r="DD79" s="10">
        <f t="shared" si="189"/>
        <v>205.18250342611003</v>
      </c>
      <c r="DE79" s="10">
        <f t="shared" si="190"/>
        <v>190.87182594869876</v>
      </c>
      <c r="DF79" s="10">
        <f t="shared" si="191"/>
        <v>176.80305991527317</v>
      </c>
      <c r="DG79" s="10">
        <f t="shared" si="192"/>
        <v>163.09170647883548</v>
      </c>
      <c r="DH79" s="10">
        <f t="shared" si="193"/>
        <v>149.84692345751355</v>
      </c>
      <c r="DI79" s="10">
        <f t="shared" si="194"/>
        <v>137.16973583241915</v>
      </c>
      <c r="DJ79" s="10">
        <f t="shared" si="195"/>
        <v>125.15150175171841</v>
      </c>
      <c r="DK79" s="10">
        <f t="shared" si="196"/>
        <v>113.87267114383326</v>
      </c>
      <c r="DL79" s="10">
        <f t="shared" si="197"/>
        <v>103.40185910346634</v>
      </c>
      <c r="DM79" s="10">
        <f t="shared" si="198"/>
        <v>93.795240865179352</v>
      </c>
      <c r="DN79" s="10">
        <f t="shared" si="199"/>
        <v>85.096260444096131</v>
      </c>
      <c r="DO79" s="10">
        <f t="shared" si="200"/>
        <v>77.335631831565465</v>
      </c>
      <c r="DP79" s="10">
        <f t="shared" si="201"/>
        <v>70.53160074970755</v>
      </c>
      <c r="DQ79" s="10">
        <f t="shared" si="202"/>
        <v>64.690426937975829</v>
      </c>
      <c r="DR79" s="10">
        <f t="shared" si="203"/>
        <v>59.807042061062354</v>
      </c>
      <c r="DS79" s="10">
        <f t="shared" si="204"/>
        <v>55.865836624475477</v>
      </c>
      <c r="DT79" s="10">
        <f t="shared" si="205"/>
        <v>52.841530550446045</v>
      </c>
      <c r="DU79" s="10">
        <f t="shared" si="206"/>
        <v>50.700085881232376</v>
      </c>
      <c r="DV79" s="10">
        <f t="shared" si="207"/>
        <v>49.399625860435073</v>
      </c>
      <c r="DW79" s="10">
        <f t="shared" si="208"/>
        <v>48.891331721610996</v>
      </c>
      <c r="DX79" s="10">
        <f t="shared" si="209"/>
        <v>49.120296185261623</v>
      </c>
      <c r="DY79" s="10">
        <f t="shared" si="210"/>
        <v>50.026320264786243</v>
      </c>
      <c r="DZ79" s="10">
        <f t="shared" si="211"/>
        <v>51.544646937009887</v>
      </c>
      <c r="EA79" s="10">
        <f t="shared" si="212"/>
        <v>53.606631107747361</v>
      </c>
      <c r="EB79" s="10">
        <f t="shared" si="213"/>
        <v>56.14034982540845</v>
      </c>
      <c r="EC79" s="10">
        <f t="shared" si="214"/>
        <v>59.071159766159916</v>
      </c>
      <c r="ED79" s="10">
        <f t="shared" si="215"/>
        <v>62.32221069634015</v>
      </c>
      <c r="EE79" s="10">
        <f t="shared" si="216"/>
        <v>65.814924113743757</v>
      </c>
      <c r="EF79" s="10">
        <f t="shared" si="217"/>
        <v>69.469445881796943</v>
      </c>
      <c r="EG79" s="10">
        <f t="shared" si="218"/>
        <v>73.205080756887725</v>
      </c>
    </row>
    <row r="80" spans="6:137" x14ac:dyDescent="0.3">
      <c r="F80" s="17"/>
      <c r="G80" s="3">
        <v>300</v>
      </c>
      <c r="H80" s="2">
        <f t="shared" ref="H80:H99" si="277">BV80*H79+DD80</f>
        <v>280.28451209215393</v>
      </c>
      <c r="I80" s="2">
        <f t="shared" ref="I80:I99" si="278">BW80*I79+DE80</f>
        <v>260.73576311264429</v>
      </c>
      <c r="J80" s="2">
        <f t="shared" ref="J80:J99" si="279">BX80*J79+DF80</f>
        <v>241.51747131108533</v>
      </c>
      <c r="K80" s="2">
        <f t="shared" si="252"/>
        <v>222.78741419664436</v>
      </c>
      <c r="L80" s="2">
        <f t="shared" si="253"/>
        <v>204.69470412190583</v>
      </c>
      <c r="M80" s="2">
        <f t="shared" si="254"/>
        <v>187.37734377748515</v>
      </c>
      <c r="N80" s="2">
        <f t="shared" si="255"/>
        <v>170.96013071462002</v>
      </c>
      <c r="O80" s="2">
        <f t="shared" si="256"/>
        <v>155.55296157926742</v>
      </c>
      <c r="P80" s="2">
        <f t="shared" si="257"/>
        <v>141.24956633387424</v>
      </c>
      <c r="Q80" s="2">
        <f t="shared" si="258"/>
        <v>128.1266817759153</v>
      </c>
      <c r="R80" s="2">
        <f t="shared" si="259"/>
        <v>116.24365353369217</v>
      </c>
      <c r="S80" s="2">
        <f t="shared" si="260"/>
        <v>105.6424376996389</v>
      </c>
      <c r="T80" s="2">
        <f t="shared" si="261"/>
        <v>96.347958393682077</v>
      </c>
      <c r="U80" s="2">
        <f t="shared" si="262"/>
        <v>88.36876657893616</v>
      </c>
      <c r="V80" s="2">
        <f t="shared" si="263"/>
        <v>81.697938780615601</v>
      </c>
      <c r="W80" s="2">
        <f t="shared" si="264"/>
        <v>76.314152032704598</v>
      </c>
      <c r="X80" s="2">
        <f t="shared" si="265"/>
        <v>72.182873106760809</v>
      </c>
      <c r="Y80" s="2">
        <f t="shared" si="266"/>
        <v>69.257605287816176</v>
      </c>
      <c r="Z80" s="2">
        <f t="shared" si="267"/>
        <v>67.481143862801019</v>
      </c>
      <c r="AA80" s="2">
        <f t="shared" si="268"/>
        <v>66.786801156572594</v>
      </c>
      <c r="AB80" s="2">
        <f t="shared" si="269"/>
        <v>67.099572430483221</v>
      </c>
      <c r="AC80" s="2">
        <f t="shared" si="270"/>
        <v>68.337224339554268</v>
      </c>
      <c r="AD80" s="2">
        <f t="shared" si="271"/>
        <v>70.411297145055244</v>
      </c>
      <c r="AE80" s="2">
        <f t="shared" si="272"/>
        <v>73.228019904484029</v>
      </c>
      <c r="AF80" s="2">
        <f t="shared" si="273"/>
        <v>76.689144038853215</v>
      </c>
      <c r="AG80" s="2">
        <f t="shared" si="274"/>
        <v>80.692704871583686</v>
      </c>
      <c r="AH80" s="2">
        <f t="shared" si="275"/>
        <v>85.133723031206912</v>
      </c>
      <c r="AI80" s="2">
        <f t="shared" si="276"/>
        <v>89.904858287519005</v>
      </c>
      <c r="AJ80" s="2">
        <f t="shared" si="221"/>
        <v>94.897027861362872</v>
      </c>
      <c r="AK80" s="2">
        <v>100</v>
      </c>
      <c r="AM80" s="17"/>
      <c r="AN80" s="10">
        <f t="shared" si="220"/>
        <v>-2483999999.9999995</v>
      </c>
      <c r="AO80" s="10">
        <f t="shared" si="237"/>
        <v>-2320755760.123034</v>
      </c>
      <c r="AP80" s="10">
        <f t="shared" si="238"/>
        <v>-2158892118.5726943</v>
      </c>
      <c r="AQ80" s="10">
        <f t="shared" si="239"/>
        <v>-1999764662.4557862</v>
      </c>
      <c r="AR80" s="10">
        <f t="shared" si="240"/>
        <v>-1844679789.5482149</v>
      </c>
      <c r="AS80" s="10">
        <f t="shared" si="241"/>
        <v>-1694872150.12938</v>
      </c>
      <c r="AT80" s="10">
        <f t="shared" si="242"/>
        <v>-1551484406.4775767</v>
      </c>
      <c r="AU80" s="10">
        <f t="shared" si="243"/>
        <v>-1415549882.3170536</v>
      </c>
      <c r="AV80" s="10">
        <f t="shared" si="244"/>
        <v>-1287978521.876334</v>
      </c>
      <c r="AW80" s="10">
        <f t="shared" si="245"/>
        <v>-1169546409.2444785</v>
      </c>
      <c r="AX80" s="10">
        <f t="shared" si="246"/>
        <v>-1060888925.1045785</v>
      </c>
      <c r="AY80" s="10">
        <f t="shared" si="247"/>
        <v>-962497451.25897086</v>
      </c>
      <c r="AZ80" s="10">
        <f t="shared" si="248"/>
        <v>-874719384.15301001</v>
      </c>
      <c r="BA80" s="10">
        <f t="shared" si="249"/>
        <v>-797761095.49968731</v>
      </c>
      <c r="BB80" s="10">
        <f t="shared" si="250"/>
        <v>-731693387.27359128</v>
      </c>
      <c r="BC80" s="10">
        <f t="shared" si="251"/>
        <v>-676458933.10349703</v>
      </c>
      <c r="BD80" s="10">
        <f t="shared" si="222"/>
        <v>-631881178.83079386</v>
      </c>
      <c r="BE80" s="10">
        <f t="shared" si="223"/>
        <v>-597674189.32397938</v>
      </c>
      <c r="BF80" s="10">
        <f t="shared" si="224"/>
        <v>-573452971.78311777</v>
      </c>
      <c r="BG80" s="10">
        <f t="shared" si="225"/>
        <v>-558743871.18399227</v>
      </c>
      <c r="BH80" s="10">
        <f t="shared" si="226"/>
        <v>-552994713.5764209</v>
      </c>
      <c r="BI80" s="10">
        <f t="shared" si="227"/>
        <v>-555584459.724401</v>
      </c>
      <c r="BJ80" s="10">
        <f t="shared" si="228"/>
        <v>-565832217.53150928</v>
      </c>
      <c r="BK80" s="10">
        <f t="shared" si="229"/>
        <v>-583005540.3610574</v>
      </c>
      <c r="BL80" s="10">
        <f t="shared" si="230"/>
        <v>-606328004.80912769</v>
      </c>
      <c r="BM80" s="10">
        <f t="shared" si="231"/>
        <v>-634986112.64170432</v>
      </c>
      <c r="BN80" s="10">
        <f t="shared" si="232"/>
        <v>-668135596.33671284</v>
      </c>
      <c r="BO80" s="10">
        <f t="shared" si="233"/>
        <v>-704907226.69839311</v>
      </c>
      <c r="BP80" s="10">
        <f t="shared" si="234"/>
        <v>-744412226.62065721</v>
      </c>
      <c r="BQ80" s="10">
        <f t="shared" si="235"/>
        <v>-785747390.69208455</v>
      </c>
      <c r="BR80" s="10">
        <f t="shared" si="236"/>
        <v>-827999999.99999988</v>
      </c>
      <c r="BT80" s="17"/>
      <c r="BU80" s="10">
        <f t="shared" si="157"/>
        <v>0.2679491924311227</v>
      </c>
      <c r="BV80" s="10">
        <f t="shared" si="158"/>
        <v>0.2679491924311227</v>
      </c>
      <c r="BW80" s="10">
        <f t="shared" si="159"/>
        <v>0.2679491924311227</v>
      </c>
      <c r="BX80" s="10">
        <f t="shared" si="160"/>
        <v>0.2679491924311227</v>
      </c>
      <c r="BY80" s="10">
        <f t="shared" si="161"/>
        <v>0.2679491924311227</v>
      </c>
      <c r="BZ80" s="10">
        <f t="shared" si="162"/>
        <v>0.2679491924311227</v>
      </c>
      <c r="CA80" s="10">
        <f t="shared" si="163"/>
        <v>0.2679491924311227</v>
      </c>
      <c r="CB80" s="10">
        <f t="shared" si="164"/>
        <v>0.2679491924311227</v>
      </c>
      <c r="CC80" s="10">
        <f t="shared" si="165"/>
        <v>0.2679491924311227</v>
      </c>
      <c r="CD80" s="10">
        <f t="shared" si="166"/>
        <v>0.2679491924311227</v>
      </c>
      <c r="CE80" s="10">
        <f t="shared" si="167"/>
        <v>0.2679491924311227</v>
      </c>
      <c r="CF80" s="10">
        <f t="shared" si="168"/>
        <v>0.2679491924311227</v>
      </c>
      <c r="CG80" s="10">
        <f t="shared" si="169"/>
        <v>0.2679491924311227</v>
      </c>
      <c r="CH80" s="10">
        <f t="shared" si="170"/>
        <v>0.2679491924311227</v>
      </c>
      <c r="CI80" s="10">
        <f t="shared" si="171"/>
        <v>0.2679491924311227</v>
      </c>
      <c r="CJ80" s="10">
        <f t="shared" si="172"/>
        <v>0.2679491924311227</v>
      </c>
      <c r="CK80" s="10">
        <f t="shared" si="173"/>
        <v>0.2679491924311227</v>
      </c>
      <c r="CL80" s="10">
        <f t="shared" si="174"/>
        <v>0.2679491924311227</v>
      </c>
      <c r="CM80" s="10">
        <f t="shared" si="175"/>
        <v>0.2679491924311227</v>
      </c>
      <c r="CN80" s="10">
        <f t="shared" si="176"/>
        <v>0.2679491924311227</v>
      </c>
      <c r="CO80" s="10">
        <f t="shared" si="177"/>
        <v>0.2679491924311227</v>
      </c>
      <c r="CP80" s="10">
        <f t="shared" si="178"/>
        <v>0.2679491924311227</v>
      </c>
      <c r="CQ80" s="10">
        <f t="shared" si="179"/>
        <v>0.2679491924311227</v>
      </c>
      <c r="CR80" s="10">
        <f t="shared" si="180"/>
        <v>0.2679491924311227</v>
      </c>
      <c r="CS80" s="10">
        <f t="shared" si="181"/>
        <v>0.2679491924311227</v>
      </c>
      <c r="CT80" s="10">
        <f t="shared" si="182"/>
        <v>0.2679491924311227</v>
      </c>
      <c r="CU80" s="10">
        <f t="shared" si="183"/>
        <v>0.2679491924311227</v>
      </c>
      <c r="CV80" s="10">
        <f t="shared" si="184"/>
        <v>0.2679491924311227</v>
      </c>
      <c r="CW80" s="10">
        <f t="shared" si="185"/>
        <v>0.2679491924311227</v>
      </c>
      <c r="CX80" s="10">
        <f t="shared" si="186"/>
        <v>0.2679491924311227</v>
      </c>
      <c r="CY80" s="10">
        <f t="shared" si="187"/>
        <v>0.2679491924311227</v>
      </c>
      <c r="DB80" s="17"/>
      <c r="DC80" s="10">
        <f t="shared" si="188"/>
        <v>219.6152422706632</v>
      </c>
      <c r="DD80" s="10">
        <f t="shared" si="189"/>
        <v>205.18250342611003</v>
      </c>
      <c r="DE80" s="10">
        <f t="shared" si="190"/>
        <v>190.87182594869876</v>
      </c>
      <c r="DF80" s="10">
        <f t="shared" si="191"/>
        <v>176.80305991527317</v>
      </c>
      <c r="DG80" s="10">
        <f t="shared" si="192"/>
        <v>163.09170647883548</v>
      </c>
      <c r="DH80" s="10">
        <f t="shared" si="193"/>
        <v>149.84692345751355</v>
      </c>
      <c r="DI80" s="10">
        <f t="shared" si="194"/>
        <v>137.16973583241915</v>
      </c>
      <c r="DJ80" s="10">
        <f t="shared" si="195"/>
        <v>125.15150175171841</v>
      </c>
      <c r="DK80" s="10">
        <f t="shared" si="196"/>
        <v>113.87267114383326</v>
      </c>
      <c r="DL80" s="10">
        <f t="shared" si="197"/>
        <v>103.40185910346634</v>
      </c>
      <c r="DM80" s="10">
        <f t="shared" si="198"/>
        <v>93.795240865179352</v>
      </c>
      <c r="DN80" s="10">
        <f t="shared" si="199"/>
        <v>85.096260444096131</v>
      </c>
      <c r="DO80" s="10">
        <f t="shared" si="200"/>
        <v>77.335631831565465</v>
      </c>
      <c r="DP80" s="10">
        <f t="shared" si="201"/>
        <v>70.53160074970755</v>
      </c>
      <c r="DQ80" s="10">
        <f t="shared" si="202"/>
        <v>64.690426937975829</v>
      </c>
      <c r="DR80" s="10">
        <f t="shared" si="203"/>
        <v>59.807042061062354</v>
      </c>
      <c r="DS80" s="10">
        <f t="shared" si="204"/>
        <v>55.865836624475477</v>
      </c>
      <c r="DT80" s="10">
        <f t="shared" si="205"/>
        <v>52.841530550446045</v>
      </c>
      <c r="DU80" s="10">
        <f t="shared" si="206"/>
        <v>50.700085881232376</v>
      </c>
      <c r="DV80" s="10">
        <f t="shared" si="207"/>
        <v>49.399625860435073</v>
      </c>
      <c r="DW80" s="10">
        <f t="shared" si="208"/>
        <v>48.891331721610996</v>
      </c>
      <c r="DX80" s="10">
        <f t="shared" si="209"/>
        <v>49.120296185261616</v>
      </c>
      <c r="DY80" s="10">
        <f t="shared" si="210"/>
        <v>50.026320264786243</v>
      </c>
      <c r="DZ80" s="10">
        <f t="shared" si="211"/>
        <v>51.54464693700988</v>
      </c>
      <c r="EA80" s="10">
        <f t="shared" si="212"/>
        <v>53.606631107747354</v>
      </c>
      <c r="EB80" s="10">
        <f t="shared" si="213"/>
        <v>56.140349825408443</v>
      </c>
      <c r="EC80" s="10">
        <f t="shared" si="214"/>
        <v>59.071159766159916</v>
      </c>
      <c r="ED80" s="10">
        <f t="shared" si="215"/>
        <v>62.32221069634015</v>
      </c>
      <c r="EE80" s="10">
        <f t="shared" si="216"/>
        <v>65.814924113743757</v>
      </c>
      <c r="EF80" s="10">
        <f t="shared" si="217"/>
        <v>69.469445881796943</v>
      </c>
      <c r="EG80" s="10">
        <f t="shared" si="218"/>
        <v>73.205080756887725</v>
      </c>
    </row>
    <row r="81" spans="6:137" x14ac:dyDescent="0.3">
      <c r="F81" s="17"/>
      <c r="G81" s="3">
        <v>300</v>
      </c>
      <c r="H81" s="2">
        <f t="shared" si="277"/>
        <v>280.28451209215393</v>
      </c>
      <c r="I81" s="2">
        <f t="shared" si="278"/>
        <v>260.73576311264429</v>
      </c>
      <c r="J81" s="2">
        <f t="shared" si="279"/>
        <v>241.51747131108533</v>
      </c>
      <c r="K81" s="2">
        <f t="shared" si="252"/>
        <v>222.78741419664436</v>
      </c>
      <c r="L81" s="2">
        <f t="shared" si="253"/>
        <v>204.69470412190583</v>
      </c>
      <c r="M81" s="2">
        <f t="shared" si="254"/>
        <v>187.37734377748515</v>
      </c>
      <c r="N81" s="2">
        <f t="shared" si="255"/>
        <v>170.96013071462002</v>
      </c>
      <c r="O81" s="2">
        <f t="shared" si="256"/>
        <v>155.55296157926742</v>
      </c>
      <c r="P81" s="2">
        <f t="shared" si="257"/>
        <v>141.24956633387424</v>
      </c>
      <c r="Q81" s="2">
        <f t="shared" si="258"/>
        <v>128.1266817759153</v>
      </c>
      <c r="R81" s="2">
        <f t="shared" si="259"/>
        <v>116.24365353369217</v>
      </c>
      <c r="S81" s="2">
        <f t="shared" si="260"/>
        <v>105.6424376996389</v>
      </c>
      <c r="T81" s="2">
        <f t="shared" si="261"/>
        <v>96.347958393682077</v>
      </c>
      <c r="U81" s="2">
        <f t="shared" si="262"/>
        <v>88.36876657893616</v>
      </c>
      <c r="V81" s="2">
        <f t="shared" si="263"/>
        <v>81.697938780615601</v>
      </c>
      <c r="W81" s="2">
        <f t="shared" si="264"/>
        <v>76.314152032704584</v>
      </c>
      <c r="X81" s="2">
        <f t="shared" si="265"/>
        <v>72.182873106760795</v>
      </c>
      <c r="Y81" s="2">
        <f t="shared" si="266"/>
        <v>69.257605287816176</v>
      </c>
      <c r="Z81" s="2">
        <f t="shared" si="267"/>
        <v>67.481143862801019</v>
      </c>
      <c r="AA81" s="2">
        <f t="shared" si="268"/>
        <v>66.786801156572594</v>
      </c>
      <c r="AB81" s="2">
        <f t="shared" si="269"/>
        <v>67.099572430483221</v>
      </c>
      <c r="AC81" s="2">
        <f t="shared" si="270"/>
        <v>68.337224339554268</v>
      </c>
      <c r="AD81" s="2">
        <f t="shared" si="271"/>
        <v>70.411297145055229</v>
      </c>
      <c r="AE81" s="2">
        <f t="shared" si="272"/>
        <v>73.228019904484029</v>
      </c>
      <c r="AF81" s="2">
        <f t="shared" si="273"/>
        <v>76.689144038853215</v>
      </c>
      <c r="AG81" s="2">
        <f t="shared" si="274"/>
        <v>80.692704871583686</v>
      </c>
      <c r="AH81" s="2">
        <f t="shared" si="275"/>
        <v>85.133723031206912</v>
      </c>
      <c r="AI81" s="2">
        <f t="shared" si="276"/>
        <v>89.904858287519005</v>
      </c>
      <c r="AJ81" s="2">
        <f t="shared" si="221"/>
        <v>94.897027861362872</v>
      </c>
      <c r="AK81" s="2">
        <v>100</v>
      </c>
      <c r="AM81" s="17"/>
      <c r="AN81" s="10">
        <f t="shared" si="220"/>
        <v>-2483999999.9999995</v>
      </c>
      <c r="AO81" s="10">
        <f t="shared" si="237"/>
        <v>-2320755760.123034</v>
      </c>
      <c r="AP81" s="10">
        <f t="shared" si="238"/>
        <v>-2158892118.5726943</v>
      </c>
      <c r="AQ81" s="10">
        <f t="shared" si="239"/>
        <v>-1999764662.4557862</v>
      </c>
      <c r="AR81" s="10">
        <f t="shared" si="240"/>
        <v>-1844679789.5482149</v>
      </c>
      <c r="AS81" s="10">
        <f t="shared" si="241"/>
        <v>-1694872150.12938</v>
      </c>
      <c r="AT81" s="10">
        <f t="shared" si="242"/>
        <v>-1551484406.4775767</v>
      </c>
      <c r="AU81" s="10">
        <f t="shared" si="243"/>
        <v>-1415549882.3170536</v>
      </c>
      <c r="AV81" s="10">
        <f t="shared" si="244"/>
        <v>-1287978521.876334</v>
      </c>
      <c r="AW81" s="10">
        <f t="shared" si="245"/>
        <v>-1169546409.2444785</v>
      </c>
      <c r="AX81" s="10">
        <f t="shared" si="246"/>
        <v>-1060888925.1045785</v>
      </c>
      <c r="AY81" s="10">
        <f t="shared" si="247"/>
        <v>-962497451.25897086</v>
      </c>
      <c r="AZ81" s="10">
        <f t="shared" si="248"/>
        <v>-874719384.15301001</v>
      </c>
      <c r="BA81" s="10">
        <f t="shared" si="249"/>
        <v>-797761095.49968731</v>
      </c>
      <c r="BB81" s="10">
        <f t="shared" si="250"/>
        <v>-731693387.27359128</v>
      </c>
      <c r="BC81" s="10">
        <f t="shared" si="251"/>
        <v>-676458933.10349703</v>
      </c>
      <c r="BD81" s="10">
        <f t="shared" si="222"/>
        <v>-631881178.83079386</v>
      </c>
      <c r="BE81" s="10">
        <f t="shared" si="223"/>
        <v>-597674189.32397926</v>
      </c>
      <c r="BF81" s="10">
        <f t="shared" si="224"/>
        <v>-573452971.78311777</v>
      </c>
      <c r="BG81" s="10">
        <f t="shared" si="225"/>
        <v>-558743871.18399227</v>
      </c>
      <c r="BH81" s="10">
        <f t="shared" si="226"/>
        <v>-552994713.5764209</v>
      </c>
      <c r="BI81" s="10">
        <f t="shared" si="227"/>
        <v>-555584459.72440088</v>
      </c>
      <c r="BJ81" s="10">
        <f t="shared" si="228"/>
        <v>-565832217.53150928</v>
      </c>
      <c r="BK81" s="10">
        <f t="shared" si="229"/>
        <v>-583005540.36105716</v>
      </c>
      <c r="BL81" s="10">
        <f t="shared" si="230"/>
        <v>-606328004.80912757</v>
      </c>
      <c r="BM81" s="10">
        <f t="shared" si="231"/>
        <v>-634986112.64170432</v>
      </c>
      <c r="BN81" s="10">
        <f t="shared" si="232"/>
        <v>-668135596.33671284</v>
      </c>
      <c r="BO81" s="10">
        <f t="shared" si="233"/>
        <v>-704907226.69839311</v>
      </c>
      <c r="BP81" s="10">
        <f t="shared" si="234"/>
        <v>-744412226.62065721</v>
      </c>
      <c r="BQ81" s="10">
        <f t="shared" si="235"/>
        <v>-785747390.69208455</v>
      </c>
      <c r="BR81" s="10">
        <f t="shared" si="236"/>
        <v>-827999999.99999988</v>
      </c>
      <c r="BT81" s="17"/>
      <c r="BU81" s="10">
        <f t="shared" si="157"/>
        <v>0.2679491924311227</v>
      </c>
      <c r="BV81" s="10">
        <f t="shared" si="158"/>
        <v>0.2679491924311227</v>
      </c>
      <c r="BW81" s="10">
        <f t="shared" si="159"/>
        <v>0.2679491924311227</v>
      </c>
      <c r="BX81" s="10">
        <f t="shared" si="160"/>
        <v>0.2679491924311227</v>
      </c>
      <c r="BY81" s="10">
        <f t="shared" si="161"/>
        <v>0.2679491924311227</v>
      </c>
      <c r="BZ81" s="10">
        <f t="shared" si="162"/>
        <v>0.2679491924311227</v>
      </c>
      <c r="CA81" s="10">
        <f t="shared" si="163"/>
        <v>0.2679491924311227</v>
      </c>
      <c r="CB81" s="10">
        <f t="shared" si="164"/>
        <v>0.2679491924311227</v>
      </c>
      <c r="CC81" s="10">
        <f t="shared" si="165"/>
        <v>0.2679491924311227</v>
      </c>
      <c r="CD81" s="10">
        <f t="shared" si="166"/>
        <v>0.2679491924311227</v>
      </c>
      <c r="CE81" s="10">
        <f t="shared" si="167"/>
        <v>0.2679491924311227</v>
      </c>
      <c r="CF81" s="10">
        <f t="shared" si="168"/>
        <v>0.2679491924311227</v>
      </c>
      <c r="CG81" s="10">
        <f t="shared" si="169"/>
        <v>0.2679491924311227</v>
      </c>
      <c r="CH81" s="10">
        <f t="shared" si="170"/>
        <v>0.2679491924311227</v>
      </c>
      <c r="CI81" s="10">
        <f t="shared" si="171"/>
        <v>0.2679491924311227</v>
      </c>
      <c r="CJ81" s="10">
        <f t="shared" si="172"/>
        <v>0.2679491924311227</v>
      </c>
      <c r="CK81" s="10">
        <f t="shared" si="173"/>
        <v>0.2679491924311227</v>
      </c>
      <c r="CL81" s="10">
        <f t="shared" si="174"/>
        <v>0.2679491924311227</v>
      </c>
      <c r="CM81" s="10">
        <f t="shared" si="175"/>
        <v>0.2679491924311227</v>
      </c>
      <c r="CN81" s="10">
        <f t="shared" si="176"/>
        <v>0.2679491924311227</v>
      </c>
      <c r="CO81" s="10">
        <f t="shared" si="177"/>
        <v>0.2679491924311227</v>
      </c>
      <c r="CP81" s="10">
        <f t="shared" si="178"/>
        <v>0.2679491924311227</v>
      </c>
      <c r="CQ81" s="10">
        <f t="shared" si="179"/>
        <v>0.2679491924311227</v>
      </c>
      <c r="CR81" s="10">
        <f t="shared" si="180"/>
        <v>0.2679491924311227</v>
      </c>
      <c r="CS81" s="10">
        <f t="shared" si="181"/>
        <v>0.2679491924311227</v>
      </c>
      <c r="CT81" s="10">
        <f t="shared" si="182"/>
        <v>0.2679491924311227</v>
      </c>
      <c r="CU81" s="10">
        <f t="shared" si="183"/>
        <v>0.2679491924311227</v>
      </c>
      <c r="CV81" s="10">
        <f t="shared" si="184"/>
        <v>0.2679491924311227</v>
      </c>
      <c r="CW81" s="10">
        <f t="shared" si="185"/>
        <v>0.2679491924311227</v>
      </c>
      <c r="CX81" s="10">
        <f t="shared" si="186"/>
        <v>0.2679491924311227</v>
      </c>
      <c r="CY81" s="10">
        <f t="shared" si="187"/>
        <v>0.2679491924311227</v>
      </c>
      <c r="DB81" s="17"/>
      <c r="DC81" s="10">
        <f t="shared" si="188"/>
        <v>219.6152422706632</v>
      </c>
      <c r="DD81" s="10">
        <f t="shared" si="189"/>
        <v>205.18250342611003</v>
      </c>
      <c r="DE81" s="10">
        <f t="shared" si="190"/>
        <v>190.87182594869876</v>
      </c>
      <c r="DF81" s="10">
        <f t="shared" si="191"/>
        <v>176.80305991527317</v>
      </c>
      <c r="DG81" s="10">
        <f t="shared" si="192"/>
        <v>163.09170647883548</v>
      </c>
      <c r="DH81" s="10">
        <f t="shared" si="193"/>
        <v>149.84692345751355</v>
      </c>
      <c r="DI81" s="10">
        <f t="shared" si="194"/>
        <v>137.16973583241915</v>
      </c>
      <c r="DJ81" s="10">
        <f t="shared" si="195"/>
        <v>125.15150175171841</v>
      </c>
      <c r="DK81" s="10">
        <f t="shared" si="196"/>
        <v>113.87267114383326</v>
      </c>
      <c r="DL81" s="10">
        <f t="shared" si="197"/>
        <v>103.40185910346634</v>
      </c>
      <c r="DM81" s="10">
        <f t="shared" si="198"/>
        <v>93.795240865179352</v>
      </c>
      <c r="DN81" s="10">
        <f t="shared" si="199"/>
        <v>85.096260444096131</v>
      </c>
      <c r="DO81" s="10">
        <f t="shared" si="200"/>
        <v>77.335631831565465</v>
      </c>
      <c r="DP81" s="10">
        <f t="shared" si="201"/>
        <v>70.53160074970755</v>
      </c>
      <c r="DQ81" s="10">
        <f t="shared" si="202"/>
        <v>64.690426937975829</v>
      </c>
      <c r="DR81" s="10">
        <f t="shared" si="203"/>
        <v>59.807042061062347</v>
      </c>
      <c r="DS81" s="10">
        <f t="shared" si="204"/>
        <v>55.86583662447547</v>
      </c>
      <c r="DT81" s="10">
        <f t="shared" si="205"/>
        <v>52.841530550446031</v>
      </c>
      <c r="DU81" s="10">
        <f t="shared" si="206"/>
        <v>50.700085881232376</v>
      </c>
      <c r="DV81" s="10">
        <f t="shared" si="207"/>
        <v>49.399625860435073</v>
      </c>
      <c r="DW81" s="10">
        <f t="shared" si="208"/>
        <v>48.891331721610996</v>
      </c>
      <c r="DX81" s="10">
        <f t="shared" si="209"/>
        <v>49.120296185261608</v>
      </c>
      <c r="DY81" s="10">
        <f t="shared" si="210"/>
        <v>50.026320264786243</v>
      </c>
      <c r="DZ81" s="10">
        <f t="shared" si="211"/>
        <v>51.544646937009865</v>
      </c>
      <c r="EA81" s="10">
        <f t="shared" si="212"/>
        <v>53.606631107747347</v>
      </c>
      <c r="EB81" s="10">
        <f t="shared" si="213"/>
        <v>56.140349825408443</v>
      </c>
      <c r="EC81" s="10">
        <f t="shared" si="214"/>
        <v>59.071159766159916</v>
      </c>
      <c r="ED81" s="10">
        <f t="shared" si="215"/>
        <v>62.32221069634015</v>
      </c>
      <c r="EE81" s="10">
        <f t="shared" si="216"/>
        <v>65.814924113743757</v>
      </c>
      <c r="EF81" s="10">
        <f t="shared" si="217"/>
        <v>69.469445881796943</v>
      </c>
      <c r="EG81" s="10">
        <f t="shared" si="218"/>
        <v>73.205080756887725</v>
      </c>
    </row>
    <row r="82" spans="6:137" x14ac:dyDescent="0.3">
      <c r="F82" s="17"/>
      <c r="G82" s="3">
        <v>300</v>
      </c>
      <c r="H82" s="2">
        <f t="shared" si="277"/>
        <v>280.28451209215393</v>
      </c>
      <c r="I82" s="2">
        <f t="shared" si="278"/>
        <v>260.73576311264429</v>
      </c>
      <c r="J82" s="2">
        <f t="shared" si="279"/>
        <v>241.51747131108533</v>
      </c>
      <c r="K82" s="2">
        <f t="shared" si="252"/>
        <v>222.78741419664436</v>
      </c>
      <c r="L82" s="2">
        <f t="shared" si="253"/>
        <v>204.69470412190583</v>
      </c>
      <c r="M82" s="2">
        <f t="shared" si="254"/>
        <v>187.37734377748515</v>
      </c>
      <c r="N82" s="2">
        <f t="shared" si="255"/>
        <v>170.96013071462002</v>
      </c>
      <c r="O82" s="2">
        <f t="shared" si="256"/>
        <v>155.55296157926742</v>
      </c>
      <c r="P82" s="2">
        <f t="shared" si="257"/>
        <v>141.24956633387424</v>
      </c>
      <c r="Q82" s="2">
        <f t="shared" si="258"/>
        <v>128.1266817759153</v>
      </c>
      <c r="R82" s="2">
        <f t="shared" si="259"/>
        <v>116.24365353369215</v>
      </c>
      <c r="S82" s="2">
        <f t="shared" si="260"/>
        <v>105.6424376996389</v>
      </c>
      <c r="T82" s="2">
        <f t="shared" si="261"/>
        <v>96.347958393682077</v>
      </c>
      <c r="U82" s="2">
        <f t="shared" si="262"/>
        <v>88.36876657893616</v>
      </c>
      <c r="V82" s="2">
        <f t="shared" si="263"/>
        <v>81.697938780615587</v>
      </c>
      <c r="W82" s="2">
        <f t="shared" si="264"/>
        <v>76.314152032704584</v>
      </c>
      <c r="X82" s="2">
        <f t="shared" si="265"/>
        <v>72.182873106760781</v>
      </c>
      <c r="Y82" s="2">
        <f t="shared" si="266"/>
        <v>69.257605287816162</v>
      </c>
      <c r="Z82" s="2">
        <f t="shared" si="267"/>
        <v>67.481143862801005</v>
      </c>
      <c r="AA82" s="2">
        <f t="shared" si="268"/>
        <v>66.786801156572579</v>
      </c>
      <c r="AB82" s="2">
        <f t="shared" si="269"/>
        <v>67.099572430483221</v>
      </c>
      <c r="AC82" s="2">
        <f t="shared" si="270"/>
        <v>68.337224339554268</v>
      </c>
      <c r="AD82" s="2">
        <f t="shared" si="271"/>
        <v>70.411297145055215</v>
      </c>
      <c r="AE82" s="2">
        <f t="shared" si="272"/>
        <v>73.228019904484029</v>
      </c>
      <c r="AF82" s="2">
        <f t="shared" si="273"/>
        <v>76.6891440388532</v>
      </c>
      <c r="AG82" s="2">
        <f t="shared" si="274"/>
        <v>80.692704871583686</v>
      </c>
      <c r="AH82" s="2">
        <f t="shared" si="275"/>
        <v>85.133723031206912</v>
      </c>
      <c r="AI82" s="2">
        <f t="shared" si="276"/>
        <v>89.904858287519005</v>
      </c>
      <c r="AJ82" s="2">
        <f t="shared" si="221"/>
        <v>94.897027861362872</v>
      </c>
      <c r="AK82" s="2">
        <v>100</v>
      </c>
      <c r="AM82" s="17"/>
      <c r="AN82" s="10">
        <f t="shared" si="220"/>
        <v>-2483999999.9999995</v>
      </c>
      <c r="AO82" s="10">
        <f t="shared" si="237"/>
        <v>-2320755760.123034</v>
      </c>
      <c r="AP82" s="10">
        <f t="shared" si="238"/>
        <v>-2158892118.5726943</v>
      </c>
      <c r="AQ82" s="10">
        <f t="shared" si="239"/>
        <v>-1999764662.4557862</v>
      </c>
      <c r="AR82" s="10">
        <f t="shared" si="240"/>
        <v>-1844679789.5482149</v>
      </c>
      <c r="AS82" s="10">
        <f t="shared" si="241"/>
        <v>-1694872150.12938</v>
      </c>
      <c r="AT82" s="10">
        <f t="shared" si="242"/>
        <v>-1551484406.4775767</v>
      </c>
      <c r="AU82" s="10">
        <f t="shared" si="243"/>
        <v>-1415549882.3170536</v>
      </c>
      <c r="AV82" s="10">
        <f t="shared" si="244"/>
        <v>-1287978521.876334</v>
      </c>
      <c r="AW82" s="10">
        <f t="shared" si="245"/>
        <v>-1169546409.2444785</v>
      </c>
      <c r="AX82" s="10">
        <f t="shared" si="246"/>
        <v>-1060888925.1045785</v>
      </c>
      <c r="AY82" s="10">
        <f t="shared" si="247"/>
        <v>-962497451.25897086</v>
      </c>
      <c r="AZ82" s="10">
        <f t="shared" si="248"/>
        <v>-874719384.15301001</v>
      </c>
      <c r="BA82" s="10">
        <f t="shared" si="249"/>
        <v>-797761095.49968731</v>
      </c>
      <c r="BB82" s="10">
        <f t="shared" si="250"/>
        <v>-731693387.27359116</v>
      </c>
      <c r="BC82" s="10">
        <f t="shared" si="251"/>
        <v>-676458933.10349691</v>
      </c>
      <c r="BD82" s="10">
        <f t="shared" si="222"/>
        <v>-631881178.83079374</v>
      </c>
      <c r="BE82" s="10">
        <f t="shared" si="223"/>
        <v>-597674189.32397902</v>
      </c>
      <c r="BF82" s="10">
        <f t="shared" si="224"/>
        <v>-573452971.78311765</v>
      </c>
      <c r="BG82" s="10">
        <f t="shared" si="225"/>
        <v>-558743871.18399215</v>
      </c>
      <c r="BH82" s="10">
        <f t="shared" si="226"/>
        <v>-552994713.5764209</v>
      </c>
      <c r="BI82" s="10">
        <f t="shared" si="227"/>
        <v>-555584459.72440088</v>
      </c>
      <c r="BJ82" s="10">
        <f t="shared" si="228"/>
        <v>-565832217.53150928</v>
      </c>
      <c r="BK82" s="10">
        <f t="shared" si="229"/>
        <v>-583005540.36105716</v>
      </c>
      <c r="BL82" s="10">
        <f t="shared" si="230"/>
        <v>-606328004.80912757</v>
      </c>
      <c r="BM82" s="10">
        <f t="shared" si="231"/>
        <v>-634986112.64170432</v>
      </c>
      <c r="BN82" s="10">
        <f t="shared" si="232"/>
        <v>-668135596.33671284</v>
      </c>
      <c r="BO82" s="10">
        <f t="shared" si="233"/>
        <v>-704907226.69839311</v>
      </c>
      <c r="BP82" s="10">
        <f t="shared" si="234"/>
        <v>-744412226.62065721</v>
      </c>
      <c r="BQ82" s="10">
        <f t="shared" si="235"/>
        <v>-785747390.69208455</v>
      </c>
      <c r="BR82" s="10">
        <f t="shared" si="236"/>
        <v>-827999999.99999988</v>
      </c>
      <c r="BT82" s="17"/>
      <c r="BU82" s="10">
        <f t="shared" si="157"/>
        <v>0.2679491924311227</v>
      </c>
      <c r="BV82" s="10">
        <f t="shared" si="158"/>
        <v>0.2679491924311227</v>
      </c>
      <c r="BW82" s="10">
        <f t="shared" si="159"/>
        <v>0.2679491924311227</v>
      </c>
      <c r="BX82" s="10">
        <f t="shared" si="160"/>
        <v>0.2679491924311227</v>
      </c>
      <c r="BY82" s="10">
        <f t="shared" si="161"/>
        <v>0.2679491924311227</v>
      </c>
      <c r="BZ82" s="10">
        <f t="shared" si="162"/>
        <v>0.2679491924311227</v>
      </c>
      <c r="CA82" s="10">
        <f t="shared" si="163"/>
        <v>0.2679491924311227</v>
      </c>
      <c r="CB82" s="10">
        <f t="shared" si="164"/>
        <v>0.2679491924311227</v>
      </c>
      <c r="CC82" s="10">
        <f t="shared" si="165"/>
        <v>0.2679491924311227</v>
      </c>
      <c r="CD82" s="10">
        <f t="shared" si="166"/>
        <v>0.2679491924311227</v>
      </c>
      <c r="CE82" s="10">
        <f t="shared" si="167"/>
        <v>0.2679491924311227</v>
      </c>
      <c r="CF82" s="10">
        <f t="shared" si="168"/>
        <v>0.2679491924311227</v>
      </c>
      <c r="CG82" s="10">
        <f t="shared" si="169"/>
        <v>0.2679491924311227</v>
      </c>
      <c r="CH82" s="10">
        <f t="shared" si="170"/>
        <v>0.2679491924311227</v>
      </c>
      <c r="CI82" s="10">
        <f t="shared" si="171"/>
        <v>0.2679491924311227</v>
      </c>
      <c r="CJ82" s="10">
        <f t="shared" si="172"/>
        <v>0.2679491924311227</v>
      </c>
      <c r="CK82" s="10">
        <f t="shared" si="173"/>
        <v>0.2679491924311227</v>
      </c>
      <c r="CL82" s="10">
        <f t="shared" si="174"/>
        <v>0.2679491924311227</v>
      </c>
      <c r="CM82" s="10">
        <f t="shared" si="175"/>
        <v>0.2679491924311227</v>
      </c>
      <c r="CN82" s="10">
        <f t="shared" si="176"/>
        <v>0.2679491924311227</v>
      </c>
      <c r="CO82" s="10">
        <f t="shared" si="177"/>
        <v>0.2679491924311227</v>
      </c>
      <c r="CP82" s="10">
        <f t="shared" si="178"/>
        <v>0.2679491924311227</v>
      </c>
      <c r="CQ82" s="10">
        <f t="shared" si="179"/>
        <v>0.2679491924311227</v>
      </c>
      <c r="CR82" s="10">
        <f t="shared" si="180"/>
        <v>0.2679491924311227</v>
      </c>
      <c r="CS82" s="10">
        <f t="shared" si="181"/>
        <v>0.2679491924311227</v>
      </c>
      <c r="CT82" s="10">
        <f t="shared" si="182"/>
        <v>0.2679491924311227</v>
      </c>
      <c r="CU82" s="10">
        <f t="shared" si="183"/>
        <v>0.2679491924311227</v>
      </c>
      <c r="CV82" s="10">
        <f t="shared" si="184"/>
        <v>0.2679491924311227</v>
      </c>
      <c r="CW82" s="10">
        <f t="shared" si="185"/>
        <v>0.2679491924311227</v>
      </c>
      <c r="CX82" s="10">
        <f t="shared" si="186"/>
        <v>0.2679491924311227</v>
      </c>
      <c r="CY82" s="10">
        <f t="shared" si="187"/>
        <v>0.2679491924311227</v>
      </c>
      <c r="DB82" s="17"/>
      <c r="DC82" s="10">
        <f t="shared" si="188"/>
        <v>219.6152422706632</v>
      </c>
      <c r="DD82" s="10">
        <f t="shared" si="189"/>
        <v>205.18250342611003</v>
      </c>
      <c r="DE82" s="10">
        <f t="shared" si="190"/>
        <v>190.87182594869876</v>
      </c>
      <c r="DF82" s="10">
        <f t="shared" si="191"/>
        <v>176.80305991527317</v>
      </c>
      <c r="DG82" s="10">
        <f t="shared" si="192"/>
        <v>163.09170647883548</v>
      </c>
      <c r="DH82" s="10">
        <f t="shared" si="193"/>
        <v>149.84692345751355</v>
      </c>
      <c r="DI82" s="10">
        <f t="shared" si="194"/>
        <v>137.16973583241915</v>
      </c>
      <c r="DJ82" s="10">
        <f t="shared" si="195"/>
        <v>125.15150175171841</v>
      </c>
      <c r="DK82" s="10">
        <f t="shared" si="196"/>
        <v>113.87267114383326</v>
      </c>
      <c r="DL82" s="10">
        <f t="shared" si="197"/>
        <v>103.40185910346634</v>
      </c>
      <c r="DM82" s="10">
        <f t="shared" si="198"/>
        <v>93.795240865179352</v>
      </c>
      <c r="DN82" s="10">
        <f t="shared" si="199"/>
        <v>85.096260444096117</v>
      </c>
      <c r="DO82" s="10">
        <f t="shared" si="200"/>
        <v>77.335631831565465</v>
      </c>
      <c r="DP82" s="10">
        <f t="shared" si="201"/>
        <v>70.53160074970755</v>
      </c>
      <c r="DQ82" s="10">
        <f t="shared" si="202"/>
        <v>64.690426937975829</v>
      </c>
      <c r="DR82" s="10">
        <f t="shared" si="203"/>
        <v>59.807042061062333</v>
      </c>
      <c r="DS82" s="10">
        <f t="shared" si="204"/>
        <v>55.865836624475463</v>
      </c>
      <c r="DT82" s="10">
        <f t="shared" si="205"/>
        <v>52.841530550446016</v>
      </c>
      <c r="DU82" s="10">
        <f t="shared" si="206"/>
        <v>50.700085881232368</v>
      </c>
      <c r="DV82" s="10">
        <f t="shared" si="207"/>
        <v>49.399625860435059</v>
      </c>
      <c r="DW82" s="10">
        <f t="shared" si="208"/>
        <v>48.891331721610989</v>
      </c>
      <c r="DX82" s="10">
        <f t="shared" si="209"/>
        <v>49.120296185261608</v>
      </c>
      <c r="DY82" s="10">
        <f t="shared" si="210"/>
        <v>50.026320264786236</v>
      </c>
      <c r="DZ82" s="10">
        <f t="shared" si="211"/>
        <v>51.544646937009858</v>
      </c>
      <c r="EA82" s="10">
        <f t="shared" si="212"/>
        <v>53.606631107747347</v>
      </c>
      <c r="EB82" s="10">
        <f t="shared" si="213"/>
        <v>56.140349825408435</v>
      </c>
      <c r="EC82" s="10">
        <f t="shared" si="214"/>
        <v>59.071159766159916</v>
      </c>
      <c r="ED82" s="10">
        <f t="shared" si="215"/>
        <v>62.32221069634015</v>
      </c>
      <c r="EE82" s="10">
        <f t="shared" si="216"/>
        <v>65.814924113743757</v>
      </c>
      <c r="EF82" s="10">
        <f t="shared" si="217"/>
        <v>69.469445881796943</v>
      </c>
      <c r="EG82" s="10">
        <f t="shared" si="218"/>
        <v>73.205080756887725</v>
      </c>
    </row>
    <row r="83" spans="6:137" x14ac:dyDescent="0.3">
      <c r="F83" s="17"/>
      <c r="G83" s="3">
        <v>300</v>
      </c>
      <c r="H83" s="2">
        <f t="shared" si="277"/>
        <v>280.28451209215393</v>
      </c>
      <c r="I83" s="2">
        <f t="shared" si="278"/>
        <v>260.73576311264429</v>
      </c>
      <c r="J83" s="2">
        <f t="shared" si="279"/>
        <v>241.51747131108533</v>
      </c>
      <c r="K83" s="2">
        <f t="shared" si="252"/>
        <v>222.78741419664436</v>
      </c>
      <c r="L83" s="2">
        <f t="shared" si="253"/>
        <v>204.69470412190583</v>
      </c>
      <c r="M83" s="2">
        <f t="shared" si="254"/>
        <v>187.37734377748515</v>
      </c>
      <c r="N83" s="2">
        <f t="shared" si="255"/>
        <v>170.96013071462002</v>
      </c>
      <c r="O83" s="2">
        <f t="shared" si="256"/>
        <v>155.55296157926742</v>
      </c>
      <c r="P83" s="2">
        <f t="shared" si="257"/>
        <v>141.24956633387421</v>
      </c>
      <c r="Q83" s="2">
        <f t="shared" si="258"/>
        <v>128.12668177591527</v>
      </c>
      <c r="R83" s="2">
        <f t="shared" si="259"/>
        <v>116.24365353369213</v>
      </c>
      <c r="S83" s="2">
        <f t="shared" si="260"/>
        <v>105.64243769963889</v>
      </c>
      <c r="T83" s="2">
        <f t="shared" si="261"/>
        <v>96.347958393682077</v>
      </c>
      <c r="U83" s="2">
        <f t="shared" si="262"/>
        <v>88.368766578936146</v>
      </c>
      <c r="V83" s="2">
        <f t="shared" si="263"/>
        <v>81.697938780615573</v>
      </c>
      <c r="W83" s="2">
        <f t="shared" si="264"/>
        <v>76.314152032704555</v>
      </c>
      <c r="X83" s="2">
        <f t="shared" si="265"/>
        <v>72.182873106760752</v>
      </c>
      <c r="Y83" s="2">
        <f t="shared" si="266"/>
        <v>69.257605287816148</v>
      </c>
      <c r="Z83" s="2">
        <f t="shared" si="267"/>
        <v>67.481143862800991</v>
      </c>
      <c r="AA83" s="2">
        <f t="shared" si="268"/>
        <v>66.786801156572565</v>
      </c>
      <c r="AB83" s="2">
        <f t="shared" si="269"/>
        <v>67.099572430483207</v>
      </c>
      <c r="AC83" s="2">
        <f t="shared" si="270"/>
        <v>68.337224339554254</v>
      </c>
      <c r="AD83" s="2">
        <f t="shared" si="271"/>
        <v>70.411297145055215</v>
      </c>
      <c r="AE83" s="2">
        <f t="shared" si="272"/>
        <v>73.228019904484029</v>
      </c>
      <c r="AF83" s="2">
        <f t="shared" si="273"/>
        <v>76.689144038853186</v>
      </c>
      <c r="AG83" s="2">
        <f t="shared" si="274"/>
        <v>80.692704871583686</v>
      </c>
      <c r="AH83" s="2">
        <f t="shared" si="275"/>
        <v>85.133723031206898</v>
      </c>
      <c r="AI83" s="2">
        <f t="shared" si="276"/>
        <v>89.904858287519005</v>
      </c>
      <c r="AJ83" s="2">
        <f t="shared" si="221"/>
        <v>94.897027861362872</v>
      </c>
      <c r="AK83" s="2">
        <v>100</v>
      </c>
      <c r="AM83" s="17"/>
      <c r="AN83" s="10">
        <f t="shared" si="220"/>
        <v>-2483999999.9999995</v>
      </c>
      <c r="AO83" s="10">
        <f t="shared" si="237"/>
        <v>-2320755760.123034</v>
      </c>
      <c r="AP83" s="10">
        <f t="shared" si="238"/>
        <v>-2158892118.5726943</v>
      </c>
      <c r="AQ83" s="10">
        <f t="shared" si="239"/>
        <v>-1999764662.4557862</v>
      </c>
      <c r="AR83" s="10">
        <f t="shared" si="240"/>
        <v>-1844679789.5482149</v>
      </c>
      <c r="AS83" s="10">
        <f t="shared" si="241"/>
        <v>-1694872150.12938</v>
      </c>
      <c r="AT83" s="10">
        <f t="shared" si="242"/>
        <v>-1551484406.4775767</v>
      </c>
      <c r="AU83" s="10">
        <f t="shared" si="243"/>
        <v>-1415549882.3170536</v>
      </c>
      <c r="AV83" s="10">
        <f t="shared" si="244"/>
        <v>-1287978521.876334</v>
      </c>
      <c r="AW83" s="10">
        <f t="shared" si="245"/>
        <v>-1169546409.2444782</v>
      </c>
      <c r="AX83" s="10">
        <f t="shared" si="246"/>
        <v>-1060888925.1045781</v>
      </c>
      <c r="AY83" s="10">
        <f t="shared" si="247"/>
        <v>-962497451.25897038</v>
      </c>
      <c r="AZ83" s="10">
        <f t="shared" si="248"/>
        <v>-874719384.15300989</v>
      </c>
      <c r="BA83" s="10">
        <f t="shared" si="249"/>
        <v>-797761095.49968731</v>
      </c>
      <c r="BB83" s="10">
        <f t="shared" si="250"/>
        <v>-731693387.27359116</v>
      </c>
      <c r="BC83" s="10">
        <f t="shared" si="251"/>
        <v>-676458933.10349679</v>
      </c>
      <c r="BD83" s="10">
        <f t="shared" si="222"/>
        <v>-631881178.83079362</v>
      </c>
      <c r="BE83" s="10">
        <f t="shared" si="223"/>
        <v>-597674189.3239789</v>
      </c>
      <c r="BF83" s="10">
        <f t="shared" si="224"/>
        <v>-573452971.78311765</v>
      </c>
      <c r="BG83" s="10">
        <f t="shared" si="225"/>
        <v>-558743871.18399215</v>
      </c>
      <c r="BH83" s="10">
        <f t="shared" si="226"/>
        <v>-552994713.57642078</v>
      </c>
      <c r="BI83" s="10">
        <f t="shared" si="227"/>
        <v>-555584459.72440076</v>
      </c>
      <c r="BJ83" s="10">
        <f t="shared" si="228"/>
        <v>-565832217.53150904</v>
      </c>
      <c r="BK83" s="10">
        <f t="shared" si="229"/>
        <v>-583005540.36105704</v>
      </c>
      <c r="BL83" s="10">
        <f t="shared" si="230"/>
        <v>-606328004.80912757</v>
      </c>
      <c r="BM83" s="10">
        <f t="shared" si="231"/>
        <v>-634986112.64170432</v>
      </c>
      <c r="BN83" s="10">
        <f t="shared" si="232"/>
        <v>-668135596.33671284</v>
      </c>
      <c r="BO83" s="10">
        <f t="shared" si="233"/>
        <v>-704907226.69839299</v>
      </c>
      <c r="BP83" s="10">
        <f t="shared" si="234"/>
        <v>-744412226.62065721</v>
      </c>
      <c r="BQ83" s="10">
        <f t="shared" si="235"/>
        <v>-785747390.69208455</v>
      </c>
      <c r="BR83" s="10">
        <f t="shared" si="236"/>
        <v>-827999999.99999988</v>
      </c>
      <c r="BT83" s="17"/>
      <c r="BU83" s="10">
        <f t="shared" si="157"/>
        <v>0.2679491924311227</v>
      </c>
      <c r="BV83" s="10">
        <f t="shared" si="158"/>
        <v>0.2679491924311227</v>
      </c>
      <c r="BW83" s="10">
        <f t="shared" si="159"/>
        <v>0.2679491924311227</v>
      </c>
      <c r="BX83" s="10">
        <f t="shared" si="160"/>
        <v>0.2679491924311227</v>
      </c>
      <c r="BY83" s="10">
        <f t="shared" si="161"/>
        <v>0.2679491924311227</v>
      </c>
      <c r="BZ83" s="10">
        <f t="shared" si="162"/>
        <v>0.2679491924311227</v>
      </c>
      <c r="CA83" s="10">
        <f t="shared" si="163"/>
        <v>0.2679491924311227</v>
      </c>
      <c r="CB83" s="10">
        <f t="shared" si="164"/>
        <v>0.2679491924311227</v>
      </c>
      <c r="CC83" s="10">
        <f t="shared" si="165"/>
        <v>0.2679491924311227</v>
      </c>
      <c r="CD83" s="10">
        <f t="shared" si="166"/>
        <v>0.2679491924311227</v>
      </c>
      <c r="CE83" s="10">
        <f t="shared" si="167"/>
        <v>0.2679491924311227</v>
      </c>
      <c r="CF83" s="10">
        <f t="shared" si="168"/>
        <v>0.2679491924311227</v>
      </c>
      <c r="CG83" s="10">
        <f t="shared" si="169"/>
        <v>0.2679491924311227</v>
      </c>
      <c r="CH83" s="10">
        <f t="shared" si="170"/>
        <v>0.2679491924311227</v>
      </c>
      <c r="CI83" s="10">
        <f t="shared" si="171"/>
        <v>0.2679491924311227</v>
      </c>
      <c r="CJ83" s="10">
        <f t="shared" si="172"/>
        <v>0.2679491924311227</v>
      </c>
      <c r="CK83" s="10">
        <f t="shared" si="173"/>
        <v>0.2679491924311227</v>
      </c>
      <c r="CL83" s="10">
        <f t="shared" si="174"/>
        <v>0.2679491924311227</v>
      </c>
      <c r="CM83" s="10">
        <f t="shared" si="175"/>
        <v>0.2679491924311227</v>
      </c>
      <c r="CN83" s="10">
        <f t="shared" si="176"/>
        <v>0.2679491924311227</v>
      </c>
      <c r="CO83" s="10">
        <f t="shared" si="177"/>
        <v>0.2679491924311227</v>
      </c>
      <c r="CP83" s="10">
        <f t="shared" si="178"/>
        <v>0.2679491924311227</v>
      </c>
      <c r="CQ83" s="10">
        <f t="shared" si="179"/>
        <v>0.2679491924311227</v>
      </c>
      <c r="CR83" s="10">
        <f t="shared" si="180"/>
        <v>0.2679491924311227</v>
      </c>
      <c r="CS83" s="10">
        <f t="shared" si="181"/>
        <v>0.2679491924311227</v>
      </c>
      <c r="CT83" s="10">
        <f t="shared" si="182"/>
        <v>0.2679491924311227</v>
      </c>
      <c r="CU83" s="10">
        <f t="shared" si="183"/>
        <v>0.2679491924311227</v>
      </c>
      <c r="CV83" s="10">
        <f t="shared" si="184"/>
        <v>0.2679491924311227</v>
      </c>
      <c r="CW83" s="10">
        <f t="shared" si="185"/>
        <v>0.2679491924311227</v>
      </c>
      <c r="CX83" s="10">
        <f t="shared" si="186"/>
        <v>0.2679491924311227</v>
      </c>
      <c r="CY83" s="10">
        <f t="shared" si="187"/>
        <v>0.2679491924311227</v>
      </c>
      <c r="DB83" s="17"/>
      <c r="DC83" s="10">
        <f t="shared" si="188"/>
        <v>219.6152422706632</v>
      </c>
      <c r="DD83" s="10">
        <f t="shared" si="189"/>
        <v>205.18250342611003</v>
      </c>
      <c r="DE83" s="10">
        <f t="shared" si="190"/>
        <v>190.87182594869876</v>
      </c>
      <c r="DF83" s="10">
        <f t="shared" si="191"/>
        <v>176.80305991527317</v>
      </c>
      <c r="DG83" s="10">
        <f t="shared" si="192"/>
        <v>163.09170647883548</v>
      </c>
      <c r="DH83" s="10">
        <f t="shared" si="193"/>
        <v>149.84692345751355</v>
      </c>
      <c r="DI83" s="10">
        <f t="shared" si="194"/>
        <v>137.16973583241915</v>
      </c>
      <c r="DJ83" s="10">
        <f t="shared" si="195"/>
        <v>125.15150175171841</v>
      </c>
      <c r="DK83" s="10">
        <f t="shared" si="196"/>
        <v>113.87267114383326</v>
      </c>
      <c r="DL83" s="10">
        <f t="shared" si="197"/>
        <v>103.40185910346632</v>
      </c>
      <c r="DM83" s="10">
        <f t="shared" si="198"/>
        <v>93.795240865179323</v>
      </c>
      <c r="DN83" s="10">
        <f t="shared" si="199"/>
        <v>85.096260444096089</v>
      </c>
      <c r="DO83" s="10">
        <f t="shared" si="200"/>
        <v>77.335631831565451</v>
      </c>
      <c r="DP83" s="10">
        <f t="shared" si="201"/>
        <v>70.53160074970755</v>
      </c>
      <c r="DQ83" s="10">
        <f t="shared" si="202"/>
        <v>64.690426937975815</v>
      </c>
      <c r="DR83" s="10">
        <f t="shared" si="203"/>
        <v>59.807042061062319</v>
      </c>
      <c r="DS83" s="10">
        <f t="shared" si="204"/>
        <v>55.865836624475449</v>
      </c>
      <c r="DT83" s="10">
        <f t="shared" si="205"/>
        <v>52.841530550446002</v>
      </c>
      <c r="DU83" s="10">
        <f t="shared" si="206"/>
        <v>50.700085881232361</v>
      </c>
      <c r="DV83" s="10">
        <f t="shared" si="207"/>
        <v>49.399625860435059</v>
      </c>
      <c r="DW83" s="10">
        <f t="shared" si="208"/>
        <v>48.891331721610975</v>
      </c>
      <c r="DX83" s="10">
        <f t="shared" si="209"/>
        <v>49.120296185261601</v>
      </c>
      <c r="DY83" s="10">
        <f t="shared" si="210"/>
        <v>50.026320264786222</v>
      </c>
      <c r="DZ83" s="10">
        <f t="shared" si="211"/>
        <v>51.544646937009851</v>
      </c>
      <c r="EA83" s="10">
        <f t="shared" si="212"/>
        <v>53.606631107747347</v>
      </c>
      <c r="EB83" s="10">
        <f t="shared" si="213"/>
        <v>56.140349825408421</v>
      </c>
      <c r="EC83" s="10">
        <f t="shared" si="214"/>
        <v>59.071159766159916</v>
      </c>
      <c r="ED83" s="10">
        <f t="shared" si="215"/>
        <v>62.322210696340136</v>
      </c>
      <c r="EE83" s="10">
        <f t="shared" si="216"/>
        <v>65.814924113743757</v>
      </c>
      <c r="EF83" s="10">
        <f t="shared" si="217"/>
        <v>69.469445881796943</v>
      </c>
      <c r="EG83" s="10">
        <f t="shared" si="218"/>
        <v>73.205080756887725</v>
      </c>
    </row>
    <row r="84" spans="6:137" x14ac:dyDescent="0.3">
      <c r="F84" s="17"/>
      <c r="G84" s="3">
        <v>300</v>
      </c>
      <c r="H84" s="2">
        <f t="shared" si="277"/>
        <v>280.28451209215393</v>
      </c>
      <c r="I84" s="2">
        <f t="shared" si="278"/>
        <v>260.73576311264429</v>
      </c>
      <c r="J84" s="2">
        <f t="shared" si="279"/>
        <v>241.51747131108533</v>
      </c>
      <c r="K84" s="2">
        <f t="shared" si="252"/>
        <v>222.78741419664436</v>
      </c>
      <c r="L84" s="2">
        <f t="shared" si="253"/>
        <v>204.69470412190583</v>
      </c>
      <c r="M84" s="2">
        <f t="shared" si="254"/>
        <v>187.37734377748515</v>
      </c>
      <c r="N84" s="2">
        <f t="shared" si="255"/>
        <v>170.96013071462002</v>
      </c>
      <c r="O84" s="2">
        <f t="shared" si="256"/>
        <v>155.55296157926742</v>
      </c>
      <c r="P84" s="2">
        <f t="shared" si="257"/>
        <v>141.24956633387421</v>
      </c>
      <c r="Q84" s="2">
        <f t="shared" si="258"/>
        <v>128.12668177591527</v>
      </c>
      <c r="R84" s="2">
        <f t="shared" si="259"/>
        <v>116.24365353369207</v>
      </c>
      <c r="S84" s="2">
        <f t="shared" si="260"/>
        <v>105.64243769963886</v>
      </c>
      <c r="T84" s="2">
        <f t="shared" si="261"/>
        <v>96.347958393682049</v>
      </c>
      <c r="U84" s="2">
        <f t="shared" si="262"/>
        <v>88.368766578936118</v>
      </c>
      <c r="V84" s="2">
        <f t="shared" si="263"/>
        <v>81.697938780615544</v>
      </c>
      <c r="W84" s="2">
        <f t="shared" si="264"/>
        <v>76.314152032704527</v>
      </c>
      <c r="X84" s="2">
        <f t="shared" si="265"/>
        <v>72.182873106760752</v>
      </c>
      <c r="Y84" s="2">
        <f t="shared" si="266"/>
        <v>69.257605287816133</v>
      </c>
      <c r="Z84" s="2">
        <f t="shared" si="267"/>
        <v>67.481143862800977</v>
      </c>
      <c r="AA84" s="2">
        <f t="shared" si="268"/>
        <v>66.786801156572551</v>
      </c>
      <c r="AB84" s="2">
        <f t="shared" si="269"/>
        <v>67.099572430483192</v>
      </c>
      <c r="AC84" s="2">
        <f t="shared" si="270"/>
        <v>68.33722433955424</v>
      </c>
      <c r="AD84" s="2">
        <f t="shared" si="271"/>
        <v>70.411297145055201</v>
      </c>
      <c r="AE84" s="2">
        <f t="shared" si="272"/>
        <v>73.228019904484</v>
      </c>
      <c r="AF84" s="2">
        <f t="shared" si="273"/>
        <v>76.689144038853129</v>
      </c>
      <c r="AG84" s="2">
        <f t="shared" si="274"/>
        <v>80.692704871583672</v>
      </c>
      <c r="AH84" s="2">
        <f t="shared" si="275"/>
        <v>85.133723031206884</v>
      </c>
      <c r="AI84" s="2">
        <f t="shared" si="276"/>
        <v>89.904858287518991</v>
      </c>
      <c r="AJ84" s="2">
        <f t="shared" si="221"/>
        <v>94.897027861362872</v>
      </c>
      <c r="AK84" s="2">
        <v>100</v>
      </c>
      <c r="AM84" s="17"/>
      <c r="AN84" s="10">
        <f t="shared" si="220"/>
        <v>-2483999999.9999995</v>
      </c>
      <c r="AO84" s="10">
        <f t="shared" si="237"/>
        <v>-2320755760.123034</v>
      </c>
      <c r="AP84" s="10">
        <f t="shared" si="238"/>
        <v>-2158892118.5726943</v>
      </c>
      <c r="AQ84" s="10">
        <f t="shared" si="239"/>
        <v>-1999764662.4557862</v>
      </c>
      <c r="AR84" s="10">
        <f t="shared" si="240"/>
        <v>-1844679789.5482149</v>
      </c>
      <c r="AS84" s="10">
        <f t="shared" si="241"/>
        <v>-1694872150.12938</v>
      </c>
      <c r="AT84" s="10">
        <f t="shared" si="242"/>
        <v>-1551484406.4775767</v>
      </c>
      <c r="AU84" s="10">
        <f t="shared" si="243"/>
        <v>-1415549882.3170536</v>
      </c>
      <c r="AV84" s="10">
        <f t="shared" si="244"/>
        <v>-1287978521.876334</v>
      </c>
      <c r="AW84" s="10">
        <f t="shared" si="245"/>
        <v>-1169546409.2444782</v>
      </c>
      <c r="AX84" s="10">
        <f t="shared" si="246"/>
        <v>-1060888925.1045781</v>
      </c>
      <c r="AY84" s="10">
        <f t="shared" si="247"/>
        <v>-962497451.25897014</v>
      </c>
      <c r="AZ84" s="10">
        <f t="shared" si="248"/>
        <v>-874719384.15300965</v>
      </c>
      <c r="BA84" s="10">
        <f t="shared" si="249"/>
        <v>-797761095.49968708</v>
      </c>
      <c r="BB84" s="10">
        <f t="shared" si="250"/>
        <v>-731693387.27359104</v>
      </c>
      <c r="BC84" s="10">
        <f t="shared" si="251"/>
        <v>-676458933.10349643</v>
      </c>
      <c r="BD84" s="10">
        <f t="shared" si="222"/>
        <v>-631881178.83079338</v>
      </c>
      <c r="BE84" s="10">
        <f t="shared" si="223"/>
        <v>-597674189.32397878</v>
      </c>
      <c r="BF84" s="10">
        <f t="shared" si="224"/>
        <v>-573452971.78311741</v>
      </c>
      <c r="BG84" s="10">
        <f t="shared" si="225"/>
        <v>-558743871.18399203</v>
      </c>
      <c r="BH84" s="10">
        <f t="shared" si="226"/>
        <v>-552994713.57642066</v>
      </c>
      <c r="BI84" s="10">
        <f t="shared" si="227"/>
        <v>-555584459.72440076</v>
      </c>
      <c r="BJ84" s="10">
        <f t="shared" si="228"/>
        <v>-565832217.53150904</v>
      </c>
      <c r="BK84" s="10">
        <f t="shared" si="229"/>
        <v>-583005540.36105692</v>
      </c>
      <c r="BL84" s="10">
        <f t="shared" si="230"/>
        <v>-606328004.80912721</v>
      </c>
      <c r="BM84" s="10">
        <f t="shared" si="231"/>
        <v>-634986112.64170372</v>
      </c>
      <c r="BN84" s="10">
        <f t="shared" si="232"/>
        <v>-668135596.3367126</v>
      </c>
      <c r="BO84" s="10">
        <f t="shared" si="233"/>
        <v>-704907226.69839275</v>
      </c>
      <c r="BP84" s="10">
        <f t="shared" si="234"/>
        <v>-744412226.62065697</v>
      </c>
      <c r="BQ84" s="10">
        <f t="shared" si="235"/>
        <v>-785747390.69208455</v>
      </c>
      <c r="BR84" s="10">
        <f t="shared" si="236"/>
        <v>-827999999.99999988</v>
      </c>
      <c r="BT84" s="17"/>
      <c r="BU84" s="10">
        <f t="shared" si="157"/>
        <v>0.2679491924311227</v>
      </c>
      <c r="BV84" s="10">
        <f t="shared" si="158"/>
        <v>0.2679491924311227</v>
      </c>
      <c r="BW84" s="10">
        <f t="shared" si="159"/>
        <v>0.2679491924311227</v>
      </c>
      <c r="BX84" s="10">
        <f t="shared" si="160"/>
        <v>0.2679491924311227</v>
      </c>
      <c r="BY84" s="10">
        <f t="shared" si="161"/>
        <v>0.2679491924311227</v>
      </c>
      <c r="BZ84" s="10">
        <f t="shared" si="162"/>
        <v>0.2679491924311227</v>
      </c>
      <c r="CA84" s="10">
        <f t="shared" si="163"/>
        <v>0.2679491924311227</v>
      </c>
      <c r="CB84" s="10">
        <f t="shared" si="164"/>
        <v>0.2679491924311227</v>
      </c>
      <c r="CC84" s="10">
        <f t="shared" si="165"/>
        <v>0.2679491924311227</v>
      </c>
      <c r="CD84" s="10">
        <f t="shared" si="166"/>
        <v>0.2679491924311227</v>
      </c>
      <c r="CE84" s="10">
        <f t="shared" si="167"/>
        <v>0.2679491924311227</v>
      </c>
      <c r="CF84" s="10">
        <f t="shared" si="168"/>
        <v>0.2679491924311227</v>
      </c>
      <c r="CG84" s="10">
        <f t="shared" si="169"/>
        <v>0.2679491924311227</v>
      </c>
      <c r="CH84" s="10">
        <f t="shared" si="170"/>
        <v>0.2679491924311227</v>
      </c>
      <c r="CI84" s="10">
        <f t="shared" si="171"/>
        <v>0.2679491924311227</v>
      </c>
      <c r="CJ84" s="10">
        <f t="shared" si="172"/>
        <v>0.2679491924311227</v>
      </c>
      <c r="CK84" s="10">
        <f t="shared" si="173"/>
        <v>0.2679491924311227</v>
      </c>
      <c r="CL84" s="10">
        <f t="shared" si="174"/>
        <v>0.2679491924311227</v>
      </c>
      <c r="CM84" s="10">
        <f t="shared" si="175"/>
        <v>0.2679491924311227</v>
      </c>
      <c r="CN84" s="10">
        <f t="shared" si="176"/>
        <v>0.2679491924311227</v>
      </c>
      <c r="CO84" s="10">
        <f t="shared" si="177"/>
        <v>0.2679491924311227</v>
      </c>
      <c r="CP84" s="10">
        <f t="shared" si="178"/>
        <v>0.2679491924311227</v>
      </c>
      <c r="CQ84" s="10">
        <f t="shared" si="179"/>
        <v>0.2679491924311227</v>
      </c>
      <c r="CR84" s="10">
        <f t="shared" si="180"/>
        <v>0.2679491924311227</v>
      </c>
      <c r="CS84" s="10">
        <f t="shared" si="181"/>
        <v>0.2679491924311227</v>
      </c>
      <c r="CT84" s="10">
        <f t="shared" si="182"/>
        <v>0.2679491924311227</v>
      </c>
      <c r="CU84" s="10">
        <f t="shared" si="183"/>
        <v>0.2679491924311227</v>
      </c>
      <c r="CV84" s="10">
        <f t="shared" si="184"/>
        <v>0.2679491924311227</v>
      </c>
      <c r="CW84" s="10">
        <f t="shared" si="185"/>
        <v>0.2679491924311227</v>
      </c>
      <c r="CX84" s="10">
        <f t="shared" si="186"/>
        <v>0.2679491924311227</v>
      </c>
      <c r="CY84" s="10">
        <f t="shared" si="187"/>
        <v>0.2679491924311227</v>
      </c>
      <c r="DB84" s="17"/>
      <c r="DC84" s="10">
        <f t="shared" si="188"/>
        <v>219.6152422706632</v>
      </c>
      <c r="DD84" s="10">
        <f t="shared" si="189"/>
        <v>205.18250342611003</v>
      </c>
      <c r="DE84" s="10">
        <f t="shared" si="190"/>
        <v>190.87182594869876</v>
      </c>
      <c r="DF84" s="10">
        <f t="shared" si="191"/>
        <v>176.80305991527317</v>
      </c>
      <c r="DG84" s="10">
        <f t="shared" si="192"/>
        <v>163.09170647883548</v>
      </c>
      <c r="DH84" s="10">
        <f t="shared" si="193"/>
        <v>149.84692345751355</v>
      </c>
      <c r="DI84" s="10">
        <f t="shared" si="194"/>
        <v>137.16973583241915</v>
      </c>
      <c r="DJ84" s="10">
        <f t="shared" si="195"/>
        <v>125.15150175171841</v>
      </c>
      <c r="DK84" s="10">
        <f t="shared" si="196"/>
        <v>113.87267114383326</v>
      </c>
      <c r="DL84" s="10">
        <f t="shared" si="197"/>
        <v>103.40185910346632</v>
      </c>
      <c r="DM84" s="10">
        <f t="shared" si="198"/>
        <v>93.795240865179323</v>
      </c>
      <c r="DN84" s="10">
        <f t="shared" si="199"/>
        <v>85.096260444096046</v>
      </c>
      <c r="DO84" s="10">
        <f t="shared" si="200"/>
        <v>77.335631831565436</v>
      </c>
      <c r="DP84" s="10">
        <f t="shared" si="201"/>
        <v>70.531600749707522</v>
      </c>
      <c r="DQ84" s="10">
        <f t="shared" si="202"/>
        <v>64.690426937975801</v>
      </c>
      <c r="DR84" s="10">
        <f t="shared" si="203"/>
        <v>59.807042061062297</v>
      </c>
      <c r="DS84" s="10">
        <f t="shared" si="204"/>
        <v>55.865836624475428</v>
      </c>
      <c r="DT84" s="10">
        <f t="shared" si="205"/>
        <v>52.841530550445995</v>
      </c>
      <c r="DU84" s="10">
        <f t="shared" si="206"/>
        <v>50.70008588123234</v>
      </c>
      <c r="DV84" s="10">
        <f t="shared" si="207"/>
        <v>49.399625860435037</v>
      </c>
      <c r="DW84" s="10">
        <f t="shared" si="208"/>
        <v>48.89133172161096</v>
      </c>
      <c r="DX84" s="10">
        <f t="shared" si="209"/>
        <v>49.120296185261594</v>
      </c>
      <c r="DY84" s="10">
        <f t="shared" si="210"/>
        <v>50.026320264786214</v>
      </c>
      <c r="DZ84" s="10">
        <f t="shared" si="211"/>
        <v>51.544646937009837</v>
      </c>
      <c r="EA84" s="10">
        <f t="shared" si="212"/>
        <v>53.606631107747319</v>
      </c>
      <c r="EB84" s="10">
        <f t="shared" si="213"/>
        <v>56.140349825408379</v>
      </c>
      <c r="EC84" s="10">
        <f t="shared" si="214"/>
        <v>59.071159766159901</v>
      </c>
      <c r="ED84" s="10">
        <f t="shared" si="215"/>
        <v>62.322210696340122</v>
      </c>
      <c r="EE84" s="10">
        <f t="shared" si="216"/>
        <v>65.814924113743743</v>
      </c>
      <c r="EF84" s="10">
        <f t="shared" si="217"/>
        <v>69.469445881796943</v>
      </c>
      <c r="EG84" s="10">
        <f t="shared" si="218"/>
        <v>73.205080756887725</v>
      </c>
    </row>
    <row r="85" spans="6:137" x14ac:dyDescent="0.3">
      <c r="F85" s="17"/>
      <c r="G85" s="3">
        <v>300</v>
      </c>
      <c r="H85" s="2">
        <f t="shared" si="277"/>
        <v>280.28451209215393</v>
      </c>
      <c r="I85" s="2">
        <f t="shared" si="278"/>
        <v>260.73576311264429</v>
      </c>
      <c r="J85" s="2">
        <f t="shared" si="279"/>
        <v>241.51747131108536</v>
      </c>
      <c r="K85" s="2">
        <f t="shared" si="252"/>
        <v>222.78741419664433</v>
      </c>
      <c r="L85" s="2">
        <f t="shared" si="253"/>
        <v>204.69470412190583</v>
      </c>
      <c r="M85" s="2">
        <f t="shared" si="254"/>
        <v>187.37734377748515</v>
      </c>
      <c r="N85" s="2">
        <f t="shared" si="255"/>
        <v>170.96013071461999</v>
      </c>
      <c r="O85" s="2">
        <f t="shared" si="256"/>
        <v>155.55296157926742</v>
      </c>
      <c r="P85" s="2">
        <f t="shared" si="257"/>
        <v>141.24956633387421</v>
      </c>
      <c r="Q85" s="2">
        <f t="shared" si="258"/>
        <v>128.12668177591527</v>
      </c>
      <c r="R85" s="2">
        <f t="shared" si="259"/>
        <v>116.24365353369207</v>
      </c>
      <c r="S85" s="2">
        <f t="shared" si="260"/>
        <v>105.64243769963886</v>
      </c>
      <c r="T85" s="2">
        <f t="shared" si="261"/>
        <v>96.347958393682021</v>
      </c>
      <c r="U85" s="2">
        <f t="shared" si="262"/>
        <v>88.368766578936103</v>
      </c>
      <c r="V85" s="2">
        <f t="shared" si="263"/>
        <v>81.69793878061553</v>
      </c>
      <c r="W85" s="2">
        <f t="shared" si="264"/>
        <v>76.314152032704527</v>
      </c>
      <c r="X85" s="2">
        <f t="shared" si="265"/>
        <v>72.182873106760738</v>
      </c>
      <c r="Y85" s="2">
        <f t="shared" si="266"/>
        <v>69.257605287816119</v>
      </c>
      <c r="Z85" s="2">
        <f t="shared" si="267"/>
        <v>67.481143862800963</v>
      </c>
      <c r="AA85" s="2">
        <f t="shared" si="268"/>
        <v>66.786801156572537</v>
      </c>
      <c r="AB85" s="2">
        <f t="shared" si="269"/>
        <v>67.099572430483164</v>
      </c>
      <c r="AC85" s="2">
        <f t="shared" si="270"/>
        <v>68.337224339554211</v>
      </c>
      <c r="AD85" s="2">
        <f t="shared" si="271"/>
        <v>70.411297145055173</v>
      </c>
      <c r="AE85" s="2">
        <f t="shared" si="272"/>
        <v>73.228019904483972</v>
      </c>
      <c r="AF85" s="2">
        <f t="shared" si="273"/>
        <v>76.689144038853129</v>
      </c>
      <c r="AG85" s="2">
        <f t="shared" si="274"/>
        <v>80.692704871583658</v>
      </c>
      <c r="AH85" s="2">
        <f t="shared" si="275"/>
        <v>85.133723031206856</v>
      </c>
      <c r="AI85" s="2">
        <f t="shared" si="276"/>
        <v>89.904858287518977</v>
      </c>
      <c r="AJ85" s="2">
        <f t="shared" si="221"/>
        <v>94.897027861362872</v>
      </c>
      <c r="AK85" s="2">
        <v>100</v>
      </c>
      <c r="AM85" s="17"/>
      <c r="AN85" s="10">
        <f t="shared" si="220"/>
        <v>-2483999999.9999995</v>
      </c>
      <c r="AO85" s="10">
        <f t="shared" si="237"/>
        <v>-2320755760.123034</v>
      </c>
      <c r="AP85" s="10">
        <f t="shared" si="238"/>
        <v>-2158892118.5726943</v>
      </c>
      <c r="AQ85" s="10">
        <f t="shared" si="239"/>
        <v>-1999764662.4557862</v>
      </c>
      <c r="AR85" s="10">
        <f t="shared" si="240"/>
        <v>-1844679789.5482149</v>
      </c>
      <c r="AS85" s="10">
        <f t="shared" si="241"/>
        <v>-1694872150.12938</v>
      </c>
      <c r="AT85" s="10">
        <f t="shared" si="242"/>
        <v>-1551484406.4775767</v>
      </c>
      <c r="AU85" s="10">
        <f t="shared" si="243"/>
        <v>-1415549882.3170533</v>
      </c>
      <c r="AV85" s="10">
        <f t="shared" si="244"/>
        <v>-1287978521.876334</v>
      </c>
      <c r="AW85" s="10">
        <f t="shared" si="245"/>
        <v>-1169546409.2444782</v>
      </c>
      <c r="AX85" s="10">
        <f t="shared" si="246"/>
        <v>-1060888925.1045781</v>
      </c>
      <c r="AY85" s="10">
        <f t="shared" si="247"/>
        <v>-962497451.25897014</v>
      </c>
      <c r="AZ85" s="10">
        <f t="shared" si="248"/>
        <v>-874719384.15300965</v>
      </c>
      <c r="BA85" s="10">
        <f t="shared" si="249"/>
        <v>-797761095.49968684</v>
      </c>
      <c r="BB85" s="10">
        <f t="shared" si="250"/>
        <v>-731693387.27359068</v>
      </c>
      <c r="BC85" s="10">
        <f t="shared" si="251"/>
        <v>-676458933.10349643</v>
      </c>
      <c r="BD85" s="10">
        <f t="shared" si="222"/>
        <v>-631881178.83079338</v>
      </c>
      <c r="BE85" s="10">
        <f t="shared" si="223"/>
        <v>-597674189.32397878</v>
      </c>
      <c r="BF85" s="10">
        <f t="shared" si="224"/>
        <v>-573452971.78311729</v>
      </c>
      <c r="BG85" s="10">
        <f t="shared" si="225"/>
        <v>-558743871.18399191</v>
      </c>
      <c r="BH85" s="10">
        <f t="shared" si="226"/>
        <v>-552994713.57642055</v>
      </c>
      <c r="BI85" s="10">
        <f t="shared" si="227"/>
        <v>-555584459.72440052</v>
      </c>
      <c r="BJ85" s="10">
        <f t="shared" si="228"/>
        <v>-565832217.5315088</v>
      </c>
      <c r="BK85" s="10">
        <f t="shared" si="229"/>
        <v>-583005540.36105669</v>
      </c>
      <c r="BL85" s="10">
        <f t="shared" si="230"/>
        <v>-606328004.80912709</v>
      </c>
      <c r="BM85" s="10">
        <f t="shared" si="231"/>
        <v>-634986112.64170372</v>
      </c>
      <c r="BN85" s="10">
        <f t="shared" si="232"/>
        <v>-668135596.3367126</v>
      </c>
      <c r="BO85" s="10">
        <f t="shared" si="233"/>
        <v>-704907226.69839263</v>
      </c>
      <c r="BP85" s="10">
        <f t="shared" si="234"/>
        <v>-744412226.62065697</v>
      </c>
      <c r="BQ85" s="10">
        <f t="shared" si="235"/>
        <v>-785747390.69208455</v>
      </c>
      <c r="BR85" s="10">
        <f t="shared" si="236"/>
        <v>-827999999.99999988</v>
      </c>
      <c r="BT85" s="17"/>
      <c r="BU85" s="10">
        <f t="shared" si="157"/>
        <v>0.26794919243112281</v>
      </c>
      <c r="BV85" s="10">
        <f t="shared" si="158"/>
        <v>0.26794919243112281</v>
      </c>
      <c r="BW85" s="10">
        <f t="shared" si="159"/>
        <v>0.26794919243112281</v>
      </c>
      <c r="BX85" s="10">
        <f t="shared" si="160"/>
        <v>0.26794919243112281</v>
      </c>
      <c r="BY85" s="10">
        <f t="shared" si="161"/>
        <v>0.26794919243112281</v>
      </c>
      <c r="BZ85" s="10">
        <f t="shared" si="162"/>
        <v>0.26794919243112281</v>
      </c>
      <c r="CA85" s="10">
        <f t="shared" si="163"/>
        <v>0.26794919243112281</v>
      </c>
      <c r="CB85" s="10">
        <f t="shared" si="164"/>
        <v>0.26794919243112281</v>
      </c>
      <c r="CC85" s="10">
        <f t="shared" si="165"/>
        <v>0.26794919243112281</v>
      </c>
      <c r="CD85" s="10">
        <f t="shared" si="166"/>
        <v>0.26794919243112281</v>
      </c>
      <c r="CE85" s="10">
        <f t="shared" si="167"/>
        <v>0.26794919243112281</v>
      </c>
      <c r="CF85" s="10">
        <f t="shared" si="168"/>
        <v>0.26794919243112281</v>
      </c>
      <c r="CG85" s="10">
        <f t="shared" si="169"/>
        <v>0.26794919243112281</v>
      </c>
      <c r="CH85" s="10">
        <f t="shared" si="170"/>
        <v>0.26794919243112281</v>
      </c>
      <c r="CI85" s="10">
        <f t="shared" si="171"/>
        <v>0.26794919243112281</v>
      </c>
      <c r="CJ85" s="10">
        <f t="shared" si="172"/>
        <v>0.26794919243112281</v>
      </c>
      <c r="CK85" s="10">
        <f t="shared" si="173"/>
        <v>0.26794919243112281</v>
      </c>
      <c r="CL85" s="10">
        <f t="shared" si="174"/>
        <v>0.26794919243112281</v>
      </c>
      <c r="CM85" s="10">
        <f t="shared" si="175"/>
        <v>0.26794919243112281</v>
      </c>
      <c r="CN85" s="10">
        <f t="shared" si="176"/>
        <v>0.26794919243112281</v>
      </c>
      <c r="CO85" s="10">
        <f t="shared" si="177"/>
        <v>0.26794919243112281</v>
      </c>
      <c r="CP85" s="10">
        <f t="shared" si="178"/>
        <v>0.26794919243112281</v>
      </c>
      <c r="CQ85" s="10">
        <f t="shared" si="179"/>
        <v>0.26794919243112281</v>
      </c>
      <c r="CR85" s="10">
        <f t="shared" si="180"/>
        <v>0.26794919243112281</v>
      </c>
      <c r="CS85" s="10">
        <f t="shared" si="181"/>
        <v>0.26794919243112281</v>
      </c>
      <c r="CT85" s="10">
        <f t="shared" si="182"/>
        <v>0.26794919243112281</v>
      </c>
      <c r="CU85" s="10">
        <f t="shared" si="183"/>
        <v>0.26794919243112281</v>
      </c>
      <c r="CV85" s="10">
        <f t="shared" si="184"/>
        <v>0.26794919243112281</v>
      </c>
      <c r="CW85" s="10">
        <f t="shared" si="185"/>
        <v>0.26794919243112281</v>
      </c>
      <c r="CX85" s="10">
        <f t="shared" si="186"/>
        <v>0.26794919243112281</v>
      </c>
      <c r="CY85" s="10">
        <f t="shared" si="187"/>
        <v>0.26794919243112281</v>
      </c>
      <c r="DB85" s="17"/>
      <c r="DC85" s="10">
        <f t="shared" si="188"/>
        <v>219.61524227066317</v>
      </c>
      <c r="DD85" s="10">
        <f t="shared" si="189"/>
        <v>205.18250342611</v>
      </c>
      <c r="DE85" s="10">
        <f t="shared" si="190"/>
        <v>190.87182594869873</v>
      </c>
      <c r="DF85" s="10">
        <f t="shared" si="191"/>
        <v>176.80305991527317</v>
      </c>
      <c r="DG85" s="10">
        <f t="shared" si="192"/>
        <v>163.09170647883542</v>
      </c>
      <c r="DH85" s="10">
        <f t="shared" si="193"/>
        <v>149.84692345751355</v>
      </c>
      <c r="DI85" s="10">
        <f t="shared" si="194"/>
        <v>137.16973583241912</v>
      </c>
      <c r="DJ85" s="10">
        <f t="shared" si="195"/>
        <v>125.15150175171837</v>
      </c>
      <c r="DK85" s="10">
        <f t="shared" si="196"/>
        <v>113.87267114383323</v>
      </c>
      <c r="DL85" s="10">
        <f t="shared" si="197"/>
        <v>103.40185910346631</v>
      </c>
      <c r="DM85" s="10">
        <f t="shared" si="198"/>
        <v>93.795240865179309</v>
      </c>
      <c r="DN85" s="10">
        <f t="shared" si="199"/>
        <v>85.096260444096046</v>
      </c>
      <c r="DO85" s="10">
        <f t="shared" si="200"/>
        <v>77.335631831565422</v>
      </c>
      <c r="DP85" s="10">
        <f t="shared" si="201"/>
        <v>70.531600749707493</v>
      </c>
      <c r="DQ85" s="10">
        <f t="shared" si="202"/>
        <v>64.690426937975772</v>
      </c>
      <c r="DR85" s="10">
        <f t="shared" si="203"/>
        <v>59.807042061062283</v>
      </c>
      <c r="DS85" s="10">
        <f t="shared" si="204"/>
        <v>55.865836624475421</v>
      </c>
      <c r="DT85" s="10">
        <f t="shared" si="205"/>
        <v>52.841530550445981</v>
      </c>
      <c r="DU85" s="10">
        <f t="shared" si="206"/>
        <v>50.700085881232326</v>
      </c>
      <c r="DV85" s="10">
        <f t="shared" si="207"/>
        <v>49.399625860435023</v>
      </c>
      <c r="DW85" s="10">
        <f t="shared" si="208"/>
        <v>48.891331721610946</v>
      </c>
      <c r="DX85" s="10">
        <f t="shared" si="209"/>
        <v>49.120296185261566</v>
      </c>
      <c r="DY85" s="10">
        <f t="shared" si="210"/>
        <v>50.026320264786186</v>
      </c>
      <c r="DZ85" s="10">
        <f t="shared" si="211"/>
        <v>51.544646937009809</v>
      </c>
      <c r="EA85" s="10">
        <f t="shared" si="212"/>
        <v>53.606631107747297</v>
      </c>
      <c r="EB85" s="10">
        <f t="shared" si="213"/>
        <v>56.140349825408371</v>
      </c>
      <c r="EC85" s="10">
        <f t="shared" si="214"/>
        <v>59.071159766159887</v>
      </c>
      <c r="ED85" s="10">
        <f t="shared" si="215"/>
        <v>62.322210696340093</v>
      </c>
      <c r="EE85" s="10">
        <f t="shared" si="216"/>
        <v>65.814924113743729</v>
      </c>
      <c r="EF85" s="10">
        <f t="shared" si="217"/>
        <v>69.469445881796929</v>
      </c>
      <c r="EG85" s="10">
        <f t="shared" si="218"/>
        <v>73.205080756887725</v>
      </c>
    </row>
    <row r="86" spans="6:137" x14ac:dyDescent="0.3">
      <c r="F86" s="17"/>
      <c r="G86" s="3">
        <v>300</v>
      </c>
      <c r="H86" s="2">
        <f t="shared" si="277"/>
        <v>280.28451209215393</v>
      </c>
      <c r="I86" s="2">
        <f t="shared" si="278"/>
        <v>260.73576311264429</v>
      </c>
      <c r="J86" s="2">
        <f t="shared" si="279"/>
        <v>241.51747131108533</v>
      </c>
      <c r="K86" s="2">
        <f t="shared" si="252"/>
        <v>222.78741419664433</v>
      </c>
      <c r="L86" s="2">
        <f t="shared" si="253"/>
        <v>204.69470412190583</v>
      </c>
      <c r="M86" s="2">
        <f t="shared" si="254"/>
        <v>187.37734377748512</v>
      </c>
      <c r="N86" s="2">
        <f t="shared" si="255"/>
        <v>170.96013071461999</v>
      </c>
      <c r="O86" s="2">
        <f t="shared" si="256"/>
        <v>155.55296157926736</v>
      </c>
      <c r="P86" s="2">
        <f t="shared" si="257"/>
        <v>141.24956633387421</v>
      </c>
      <c r="Q86" s="2">
        <f t="shared" si="258"/>
        <v>128.12668177591527</v>
      </c>
      <c r="R86" s="2">
        <f t="shared" si="259"/>
        <v>116.24365353369207</v>
      </c>
      <c r="S86" s="2">
        <f t="shared" si="260"/>
        <v>105.64243769963886</v>
      </c>
      <c r="T86" s="2">
        <f t="shared" si="261"/>
        <v>96.347958393682006</v>
      </c>
      <c r="U86" s="2">
        <f t="shared" si="262"/>
        <v>88.368766578936089</v>
      </c>
      <c r="V86" s="2">
        <f t="shared" si="263"/>
        <v>81.697938780615516</v>
      </c>
      <c r="W86" s="2">
        <f t="shared" si="264"/>
        <v>76.314152032704513</v>
      </c>
      <c r="X86" s="2">
        <f t="shared" si="265"/>
        <v>72.182873106760724</v>
      </c>
      <c r="Y86" s="2">
        <f t="shared" si="266"/>
        <v>69.257605287816105</v>
      </c>
      <c r="Z86" s="2">
        <f t="shared" si="267"/>
        <v>67.481143862800934</v>
      </c>
      <c r="AA86" s="2">
        <f t="shared" si="268"/>
        <v>66.786801156572523</v>
      </c>
      <c r="AB86" s="2">
        <f t="shared" si="269"/>
        <v>67.099572430483136</v>
      </c>
      <c r="AC86" s="2">
        <f t="shared" si="270"/>
        <v>68.337224339554197</v>
      </c>
      <c r="AD86" s="2">
        <f t="shared" si="271"/>
        <v>70.411297145055158</v>
      </c>
      <c r="AE86" s="2">
        <f t="shared" si="272"/>
        <v>73.228019904483958</v>
      </c>
      <c r="AF86" s="2">
        <f t="shared" si="273"/>
        <v>76.689144038853101</v>
      </c>
      <c r="AG86" s="2">
        <f t="shared" si="274"/>
        <v>80.692704871583643</v>
      </c>
      <c r="AH86" s="2">
        <f t="shared" si="275"/>
        <v>85.133723031206841</v>
      </c>
      <c r="AI86" s="2">
        <f t="shared" si="276"/>
        <v>89.904858287518977</v>
      </c>
      <c r="AJ86" s="2">
        <f t="shared" si="221"/>
        <v>94.897027861362886</v>
      </c>
      <c r="AK86" s="2">
        <v>100</v>
      </c>
      <c r="AM86" s="17"/>
      <c r="AN86" s="10">
        <f t="shared" si="220"/>
        <v>-2483999999.9999995</v>
      </c>
      <c r="AO86" s="10">
        <f t="shared" si="237"/>
        <v>-2320755760.123034</v>
      </c>
      <c r="AP86" s="10">
        <f t="shared" si="238"/>
        <v>-2158892118.5726943</v>
      </c>
      <c r="AQ86" s="10">
        <f t="shared" si="239"/>
        <v>-1999764662.4557862</v>
      </c>
      <c r="AR86" s="10">
        <f t="shared" si="240"/>
        <v>-1844679789.5482149</v>
      </c>
      <c r="AS86" s="10">
        <f t="shared" si="241"/>
        <v>-1694872150.1293797</v>
      </c>
      <c r="AT86" s="10">
        <f t="shared" si="242"/>
        <v>-1551484406.4775765</v>
      </c>
      <c r="AU86" s="10">
        <f t="shared" si="243"/>
        <v>-1415549882.3170533</v>
      </c>
      <c r="AV86" s="10">
        <f t="shared" si="244"/>
        <v>-1287978521.8763335</v>
      </c>
      <c r="AW86" s="10">
        <f t="shared" si="245"/>
        <v>-1169546409.2444782</v>
      </c>
      <c r="AX86" s="10">
        <f t="shared" si="246"/>
        <v>-1060888925.1045781</v>
      </c>
      <c r="AY86" s="10">
        <f t="shared" si="247"/>
        <v>-962497451.25897014</v>
      </c>
      <c r="AZ86" s="10">
        <f t="shared" si="248"/>
        <v>-874719384.15300965</v>
      </c>
      <c r="BA86" s="10">
        <f t="shared" si="249"/>
        <v>-797761095.49968684</v>
      </c>
      <c r="BB86" s="10">
        <f t="shared" si="250"/>
        <v>-731693387.27359068</v>
      </c>
      <c r="BC86" s="10">
        <f t="shared" si="251"/>
        <v>-676458933.10349631</v>
      </c>
      <c r="BD86" s="10">
        <f t="shared" si="222"/>
        <v>-631881178.83079326</v>
      </c>
      <c r="BE86" s="10">
        <f t="shared" si="223"/>
        <v>-597674189.32397866</v>
      </c>
      <c r="BF86" s="10">
        <f t="shared" si="224"/>
        <v>-573452971.78311729</v>
      </c>
      <c r="BG86" s="10">
        <f t="shared" si="225"/>
        <v>-558743871.18399167</v>
      </c>
      <c r="BH86" s="10">
        <f t="shared" si="226"/>
        <v>-552994713.57642031</v>
      </c>
      <c r="BI86" s="10">
        <f t="shared" si="227"/>
        <v>-555584459.72440028</v>
      </c>
      <c r="BJ86" s="10">
        <f t="shared" si="228"/>
        <v>-565832217.53150868</v>
      </c>
      <c r="BK86" s="10">
        <f t="shared" si="229"/>
        <v>-583005540.36105657</v>
      </c>
      <c r="BL86" s="10">
        <f t="shared" si="230"/>
        <v>-606328004.80912697</v>
      </c>
      <c r="BM86" s="10">
        <f t="shared" si="231"/>
        <v>-634986112.64170361</v>
      </c>
      <c r="BN86" s="10">
        <f t="shared" si="232"/>
        <v>-668135596.33671248</v>
      </c>
      <c r="BO86" s="10">
        <f t="shared" si="233"/>
        <v>-704907226.69839251</v>
      </c>
      <c r="BP86" s="10">
        <f t="shared" si="234"/>
        <v>-744412226.62065697</v>
      </c>
      <c r="BQ86" s="10">
        <f t="shared" si="235"/>
        <v>-785747390.69208455</v>
      </c>
      <c r="BR86" s="10">
        <f t="shared" si="236"/>
        <v>-827999999.99999988</v>
      </c>
      <c r="BT86" s="17"/>
      <c r="BU86" s="10">
        <f t="shared" si="157"/>
        <v>0.26794919243112392</v>
      </c>
      <c r="BV86" s="10">
        <f t="shared" si="158"/>
        <v>0.26794919243112392</v>
      </c>
      <c r="BW86" s="10">
        <f t="shared" si="159"/>
        <v>0.26794919243112392</v>
      </c>
      <c r="BX86" s="10">
        <f t="shared" si="160"/>
        <v>0.26794919243112392</v>
      </c>
      <c r="BY86" s="10">
        <f t="shared" si="161"/>
        <v>0.26794919243112392</v>
      </c>
      <c r="BZ86" s="10">
        <f t="shared" si="162"/>
        <v>0.26794919243112392</v>
      </c>
      <c r="CA86" s="10">
        <f t="shared" si="163"/>
        <v>0.26794919243112392</v>
      </c>
      <c r="CB86" s="10">
        <f t="shared" si="164"/>
        <v>0.26794919243112392</v>
      </c>
      <c r="CC86" s="10">
        <f t="shared" si="165"/>
        <v>0.26794919243112392</v>
      </c>
      <c r="CD86" s="10">
        <f t="shared" si="166"/>
        <v>0.26794919243112392</v>
      </c>
      <c r="CE86" s="10">
        <f t="shared" si="167"/>
        <v>0.26794919243112392</v>
      </c>
      <c r="CF86" s="10">
        <f t="shared" si="168"/>
        <v>0.26794919243112392</v>
      </c>
      <c r="CG86" s="10">
        <f t="shared" si="169"/>
        <v>0.26794919243112392</v>
      </c>
      <c r="CH86" s="10">
        <f t="shared" si="170"/>
        <v>0.26794919243112392</v>
      </c>
      <c r="CI86" s="10">
        <f t="shared" si="171"/>
        <v>0.26794919243112392</v>
      </c>
      <c r="CJ86" s="10">
        <f t="shared" si="172"/>
        <v>0.26794919243112392</v>
      </c>
      <c r="CK86" s="10">
        <f t="shared" si="173"/>
        <v>0.26794919243112392</v>
      </c>
      <c r="CL86" s="10">
        <f t="shared" si="174"/>
        <v>0.26794919243112392</v>
      </c>
      <c r="CM86" s="10">
        <f t="shared" si="175"/>
        <v>0.26794919243112392</v>
      </c>
      <c r="CN86" s="10">
        <f t="shared" si="176"/>
        <v>0.26794919243112392</v>
      </c>
      <c r="CO86" s="10">
        <f t="shared" si="177"/>
        <v>0.26794919243112392</v>
      </c>
      <c r="CP86" s="10">
        <f t="shared" si="178"/>
        <v>0.26794919243112392</v>
      </c>
      <c r="CQ86" s="10">
        <f t="shared" si="179"/>
        <v>0.26794919243112392</v>
      </c>
      <c r="CR86" s="10">
        <f t="shared" si="180"/>
        <v>0.26794919243112392</v>
      </c>
      <c r="CS86" s="10">
        <f t="shared" si="181"/>
        <v>0.26794919243112392</v>
      </c>
      <c r="CT86" s="10">
        <f t="shared" si="182"/>
        <v>0.26794919243112392</v>
      </c>
      <c r="CU86" s="10">
        <f t="shared" si="183"/>
        <v>0.26794919243112392</v>
      </c>
      <c r="CV86" s="10">
        <f t="shared" si="184"/>
        <v>0.26794919243112392</v>
      </c>
      <c r="CW86" s="10">
        <f t="shared" si="185"/>
        <v>0.26794919243112392</v>
      </c>
      <c r="CX86" s="10">
        <f t="shared" si="186"/>
        <v>0.26794919243112392</v>
      </c>
      <c r="CY86" s="10">
        <f t="shared" si="187"/>
        <v>0.26794919243112392</v>
      </c>
      <c r="DB86" s="17"/>
      <c r="DC86" s="10">
        <f t="shared" si="188"/>
        <v>219.61524227066283</v>
      </c>
      <c r="DD86" s="10">
        <f t="shared" si="189"/>
        <v>205.18250342610969</v>
      </c>
      <c r="DE86" s="10">
        <f t="shared" si="190"/>
        <v>190.87182594869842</v>
      </c>
      <c r="DF86" s="10">
        <f t="shared" si="191"/>
        <v>176.80305991527288</v>
      </c>
      <c r="DG86" s="10">
        <f t="shared" si="192"/>
        <v>163.09170647883516</v>
      </c>
      <c r="DH86" s="10">
        <f t="shared" si="193"/>
        <v>149.8469234575133</v>
      </c>
      <c r="DI86" s="10">
        <f t="shared" si="194"/>
        <v>137.16973583241889</v>
      </c>
      <c r="DJ86" s="10">
        <f t="shared" si="195"/>
        <v>125.15150175171819</v>
      </c>
      <c r="DK86" s="10">
        <f t="shared" si="196"/>
        <v>113.87267114383302</v>
      </c>
      <c r="DL86" s="10">
        <f t="shared" si="197"/>
        <v>103.40185910346615</v>
      </c>
      <c r="DM86" s="10">
        <f t="shared" si="198"/>
        <v>93.795240865179167</v>
      </c>
      <c r="DN86" s="10">
        <f t="shared" si="199"/>
        <v>85.096260444095918</v>
      </c>
      <c r="DO86" s="10">
        <f t="shared" si="200"/>
        <v>77.335631831565308</v>
      </c>
      <c r="DP86" s="10">
        <f t="shared" si="201"/>
        <v>70.53160074970738</v>
      </c>
      <c r="DQ86" s="10">
        <f t="shared" si="202"/>
        <v>64.690426937975658</v>
      </c>
      <c r="DR86" s="10">
        <f t="shared" si="203"/>
        <v>59.807042061062184</v>
      </c>
      <c r="DS86" s="10">
        <f t="shared" si="204"/>
        <v>55.865836624475321</v>
      </c>
      <c r="DT86" s="10">
        <f t="shared" si="205"/>
        <v>52.841530550445889</v>
      </c>
      <c r="DU86" s="10">
        <f t="shared" si="206"/>
        <v>50.700085881232241</v>
      </c>
      <c r="DV86" s="10">
        <f t="shared" si="207"/>
        <v>49.399625860434931</v>
      </c>
      <c r="DW86" s="10">
        <f t="shared" si="208"/>
        <v>48.891331721610854</v>
      </c>
      <c r="DX86" s="10">
        <f t="shared" si="209"/>
        <v>49.120296185261473</v>
      </c>
      <c r="DY86" s="10">
        <f t="shared" si="210"/>
        <v>50.026320264786101</v>
      </c>
      <c r="DZ86" s="10">
        <f t="shared" si="211"/>
        <v>51.544646937009723</v>
      </c>
      <c r="EA86" s="10">
        <f t="shared" si="212"/>
        <v>53.606631107747205</v>
      </c>
      <c r="EB86" s="10">
        <f t="shared" si="213"/>
        <v>56.140349825408272</v>
      </c>
      <c r="EC86" s="10">
        <f t="shared" si="214"/>
        <v>59.071159766159788</v>
      </c>
      <c r="ED86" s="10">
        <f t="shared" si="215"/>
        <v>62.322210696339987</v>
      </c>
      <c r="EE86" s="10">
        <f t="shared" si="216"/>
        <v>65.814924113743629</v>
      </c>
      <c r="EF86" s="10">
        <f t="shared" si="217"/>
        <v>69.46944588179683</v>
      </c>
      <c r="EG86" s="10">
        <f t="shared" si="218"/>
        <v>73.205080756887597</v>
      </c>
    </row>
    <row r="87" spans="6:137" x14ac:dyDescent="0.3">
      <c r="F87" s="17"/>
      <c r="G87" s="3">
        <v>300</v>
      </c>
      <c r="H87" s="2">
        <f t="shared" si="277"/>
        <v>280.28451209215393</v>
      </c>
      <c r="I87" s="2">
        <f t="shared" si="278"/>
        <v>260.73576311264429</v>
      </c>
      <c r="J87" s="2">
        <f t="shared" si="279"/>
        <v>241.51747131108536</v>
      </c>
      <c r="K87" s="2">
        <f t="shared" si="252"/>
        <v>222.78741419664436</v>
      </c>
      <c r="L87" s="2">
        <f t="shared" si="253"/>
        <v>204.69470412190583</v>
      </c>
      <c r="M87" s="2">
        <f t="shared" si="254"/>
        <v>187.37734377748518</v>
      </c>
      <c r="N87" s="2">
        <f t="shared" si="255"/>
        <v>170.96013071462002</v>
      </c>
      <c r="O87" s="2">
        <f t="shared" si="256"/>
        <v>155.55296157926739</v>
      </c>
      <c r="P87" s="2">
        <f t="shared" si="257"/>
        <v>141.24956633387424</v>
      </c>
      <c r="Q87" s="2">
        <f t="shared" si="258"/>
        <v>128.12668177591527</v>
      </c>
      <c r="R87" s="2">
        <f t="shared" si="259"/>
        <v>116.2436535336921</v>
      </c>
      <c r="S87" s="2">
        <f t="shared" si="260"/>
        <v>105.64243769963889</v>
      </c>
      <c r="T87" s="2">
        <f t="shared" si="261"/>
        <v>96.347958393682006</v>
      </c>
      <c r="U87" s="2">
        <f t="shared" si="262"/>
        <v>88.368766578936103</v>
      </c>
      <c r="V87" s="2">
        <f t="shared" si="263"/>
        <v>81.697938780615516</v>
      </c>
      <c r="W87" s="2">
        <f t="shared" si="264"/>
        <v>76.314152032704527</v>
      </c>
      <c r="X87" s="2">
        <f t="shared" si="265"/>
        <v>72.182873106760724</v>
      </c>
      <c r="Y87" s="2">
        <f t="shared" si="266"/>
        <v>69.257605287816119</v>
      </c>
      <c r="Z87" s="2">
        <f t="shared" si="267"/>
        <v>67.481143862800934</v>
      </c>
      <c r="AA87" s="2">
        <f t="shared" si="268"/>
        <v>66.786801156572523</v>
      </c>
      <c r="AB87" s="2">
        <f t="shared" si="269"/>
        <v>67.099572430483136</v>
      </c>
      <c r="AC87" s="2">
        <f t="shared" si="270"/>
        <v>68.337224339554211</v>
      </c>
      <c r="AD87" s="2">
        <f t="shared" si="271"/>
        <v>70.411297145055158</v>
      </c>
      <c r="AE87" s="2">
        <f t="shared" si="272"/>
        <v>73.228019904483958</v>
      </c>
      <c r="AF87" s="2">
        <f t="shared" si="273"/>
        <v>76.689144038853101</v>
      </c>
      <c r="AG87" s="2">
        <f t="shared" si="274"/>
        <v>80.692704871583658</v>
      </c>
      <c r="AH87" s="2">
        <f t="shared" si="275"/>
        <v>85.133723031206856</v>
      </c>
      <c r="AI87" s="2">
        <f t="shared" si="276"/>
        <v>89.904858287518977</v>
      </c>
      <c r="AJ87" s="2">
        <f t="shared" si="221"/>
        <v>94.897027861362901</v>
      </c>
      <c r="AK87" s="2">
        <v>100</v>
      </c>
      <c r="AM87" s="17"/>
      <c r="AN87" s="10">
        <f t="shared" si="220"/>
        <v>-2483999999.9999995</v>
      </c>
      <c r="AO87" s="10">
        <f t="shared" si="237"/>
        <v>-2320755760.123034</v>
      </c>
      <c r="AP87" s="10">
        <f t="shared" si="238"/>
        <v>-2158892118.5726943</v>
      </c>
      <c r="AQ87" s="10">
        <f t="shared" si="239"/>
        <v>-1999764662.4557862</v>
      </c>
      <c r="AR87" s="10">
        <f t="shared" si="240"/>
        <v>-1844679789.5482149</v>
      </c>
      <c r="AS87" s="10">
        <f t="shared" si="241"/>
        <v>-1694872150.12938</v>
      </c>
      <c r="AT87" s="10">
        <f t="shared" si="242"/>
        <v>-1551484406.4775767</v>
      </c>
      <c r="AU87" s="10">
        <f t="shared" si="243"/>
        <v>-1415549882.3170536</v>
      </c>
      <c r="AV87" s="10">
        <f t="shared" si="244"/>
        <v>-1287978521.876334</v>
      </c>
      <c r="AW87" s="10">
        <f t="shared" si="245"/>
        <v>-1169546409.2444785</v>
      </c>
      <c r="AX87" s="10">
        <f t="shared" si="246"/>
        <v>-1060888925.1045781</v>
      </c>
      <c r="AY87" s="10">
        <f t="shared" si="247"/>
        <v>-962497451.25897026</v>
      </c>
      <c r="AZ87" s="10">
        <f t="shared" si="248"/>
        <v>-874719384.15300977</v>
      </c>
      <c r="BA87" s="10">
        <f t="shared" si="249"/>
        <v>-797761095.49968708</v>
      </c>
      <c r="BB87" s="10">
        <f t="shared" si="250"/>
        <v>-731693387.2735908</v>
      </c>
      <c r="BC87" s="10">
        <f t="shared" si="251"/>
        <v>-676458933.10349631</v>
      </c>
      <c r="BD87" s="10">
        <f t="shared" si="222"/>
        <v>-631881178.83079326</v>
      </c>
      <c r="BE87" s="10">
        <f t="shared" si="223"/>
        <v>-597674189.32397866</v>
      </c>
      <c r="BF87" s="10">
        <f t="shared" si="224"/>
        <v>-573452971.78311729</v>
      </c>
      <c r="BG87" s="10">
        <f t="shared" si="225"/>
        <v>-558743871.18399167</v>
      </c>
      <c r="BH87" s="10">
        <f t="shared" si="226"/>
        <v>-552994713.57642031</v>
      </c>
      <c r="BI87" s="10">
        <f t="shared" si="227"/>
        <v>-555584459.72440028</v>
      </c>
      <c r="BJ87" s="10">
        <f t="shared" si="228"/>
        <v>-565832217.53150868</v>
      </c>
      <c r="BK87" s="10">
        <f t="shared" si="229"/>
        <v>-583005540.36105657</v>
      </c>
      <c r="BL87" s="10">
        <f t="shared" si="230"/>
        <v>-606328004.80912697</v>
      </c>
      <c r="BM87" s="10">
        <f t="shared" si="231"/>
        <v>-634986112.64170361</v>
      </c>
      <c r="BN87" s="10">
        <f t="shared" si="232"/>
        <v>-668135596.3367126</v>
      </c>
      <c r="BO87" s="10">
        <f t="shared" si="233"/>
        <v>-704907226.69839263</v>
      </c>
      <c r="BP87" s="10">
        <f t="shared" si="234"/>
        <v>-744412226.62065697</v>
      </c>
      <c r="BQ87" s="10">
        <f t="shared" si="235"/>
        <v>-785747390.69208455</v>
      </c>
      <c r="BR87" s="10">
        <f t="shared" si="236"/>
        <v>-827999999.99999988</v>
      </c>
      <c r="BT87" s="17"/>
      <c r="BU87" s="10">
        <f t="shared" si="157"/>
        <v>0.26794919243114013</v>
      </c>
      <c r="BV87" s="10">
        <f t="shared" si="158"/>
        <v>0.26794919243114013</v>
      </c>
      <c r="BW87" s="10">
        <f t="shared" si="159"/>
        <v>0.26794919243114013</v>
      </c>
      <c r="BX87" s="10">
        <f t="shared" si="160"/>
        <v>0.26794919243114013</v>
      </c>
      <c r="BY87" s="10">
        <f t="shared" si="161"/>
        <v>0.26794919243114013</v>
      </c>
      <c r="BZ87" s="10">
        <f t="shared" si="162"/>
        <v>0.26794919243114013</v>
      </c>
      <c r="CA87" s="10">
        <f t="shared" si="163"/>
        <v>0.26794919243114013</v>
      </c>
      <c r="CB87" s="10">
        <f t="shared" si="164"/>
        <v>0.26794919243114013</v>
      </c>
      <c r="CC87" s="10">
        <f t="shared" si="165"/>
        <v>0.26794919243114013</v>
      </c>
      <c r="CD87" s="10">
        <f t="shared" si="166"/>
        <v>0.26794919243114013</v>
      </c>
      <c r="CE87" s="10">
        <f t="shared" si="167"/>
        <v>0.26794919243114013</v>
      </c>
      <c r="CF87" s="10">
        <f t="shared" si="168"/>
        <v>0.26794919243114013</v>
      </c>
      <c r="CG87" s="10">
        <f t="shared" si="169"/>
        <v>0.26794919243114013</v>
      </c>
      <c r="CH87" s="10">
        <f t="shared" si="170"/>
        <v>0.26794919243114013</v>
      </c>
      <c r="CI87" s="10">
        <f t="shared" si="171"/>
        <v>0.26794919243114013</v>
      </c>
      <c r="CJ87" s="10">
        <f t="shared" si="172"/>
        <v>0.26794919243114013</v>
      </c>
      <c r="CK87" s="10">
        <f t="shared" si="173"/>
        <v>0.26794919243114013</v>
      </c>
      <c r="CL87" s="10">
        <f t="shared" si="174"/>
        <v>0.26794919243114013</v>
      </c>
      <c r="CM87" s="10">
        <f t="shared" si="175"/>
        <v>0.26794919243114013</v>
      </c>
      <c r="CN87" s="10">
        <f t="shared" si="176"/>
        <v>0.26794919243114013</v>
      </c>
      <c r="CO87" s="10">
        <f t="shared" si="177"/>
        <v>0.26794919243114013</v>
      </c>
      <c r="CP87" s="10">
        <f t="shared" si="178"/>
        <v>0.26794919243114013</v>
      </c>
      <c r="CQ87" s="10">
        <f t="shared" si="179"/>
        <v>0.26794919243114013</v>
      </c>
      <c r="CR87" s="10">
        <f t="shared" si="180"/>
        <v>0.26794919243114013</v>
      </c>
      <c r="CS87" s="10">
        <f t="shared" si="181"/>
        <v>0.26794919243114013</v>
      </c>
      <c r="CT87" s="10">
        <f t="shared" si="182"/>
        <v>0.26794919243114013</v>
      </c>
      <c r="CU87" s="10">
        <f t="shared" si="183"/>
        <v>0.26794919243114013</v>
      </c>
      <c r="CV87" s="10">
        <f t="shared" si="184"/>
        <v>0.26794919243114013</v>
      </c>
      <c r="CW87" s="10">
        <f t="shared" si="185"/>
        <v>0.26794919243114013</v>
      </c>
      <c r="CX87" s="10">
        <f t="shared" si="186"/>
        <v>0.26794919243114013</v>
      </c>
      <c r="CY87" s="10">
        <f t="shared" si="187"/>
        <v>0.26794919243114013</v>
      </c>
      <c r="DB87" s="17"/>
      <c r="DC87" s="10">
        <f t="shared" si="188"/>
        <v>219.61524227065797</v>
      </c>
      <c r="DD87" s="10">
        <f t="shared" si="189"/>
        <v>205.18250342610517</v>
      </c>
      <c r="DE87" s="10">
        <f t="shared" si="190"/>
        <v>190.87182594869418</v>
      </c>
      <c r="DF87" s="10">
        <f t="shared" si="191"/>
        <v>176.80305991526899</v>
      </c>
      <c r="DG87" s="10">
        <f t="shared" si="192"/>
        <v>163.09170647883158</v>
      </c>
      <c r="DH87" s="10">
        <f t="shared" si="193"/>
        <v>149.84692345751</v>
      </c>
      <c r="DI87" s="10">
        <f t="shared" si="194"/>
        <v>137.16973583241591</v>
      </c>
      <c r="DJ87" s="10">
        <f t="shared" si="195"/>
        <v>125.15150175171544</v>
      </c>
      <c r="DK87" s="10">
        <f t="shared" si="196"/>
        <v>113.87267114383054</v>
      </c>
      <c r="DL87" s="10">
        <f t="shared" si="197"/>
        <v>103.40185910346389</v>
      </c>
      <c r="DM87" s="10">
        <f t="shared" si="198"/>
        <v>93.795240865177092</v>
      </c>
      <c r="DN87" s="10">
        <f t="shared" si="199"/>
        <v>85.096260444094057</v>
      </c>
      <c r="DO87" s="10">
        <f t="shared" si="200"/>
        <v>77.335631831563617</v>
      </c>
      <c r="DP87" s="10">
        <f t="shared" si="201"/>
        <v>70.531600749705831</v>
      </c>
      <c r="DQ87" s="10">
        <f t="shared" si="202"/>
        <v>64.690426937974252</v>
      </c>
      <c r="DR87" s="10">
        <f t="shared" si="203"/>
        <v>59.807042061060869</v>
      </c>
      <c r="DS87" s="10">
        <f t="shared" si="204"/>
        <v>55.865836624474099</v>
      </c>
      <c r="DT87" s="10">
        <f t="shared" si="205"/>
        <v>52.84153055044473</v>
      </c>
      <c r="DU87" s="10">
        <f t="shared" si="206"/>
        <v>50.700085881231132</v>
      </c>
      <c r="DV87" s="10">
        <f t="shared" si="207"/>
        <v>49.399625860433844</v>
      </c>
      <c r="DW87" s="10">
        <f t="shared" si="208"/>
        <v>48.891331721609774</v>
      </c>
      <c r="DX87" s="10">
        <f t="shared" si="209"/>
        <v>49.120296185260386</v>
      </c>
      <c r="DY87" s="10">
        <f t="shared" si="210"/>
        <v>50.026320264785006</v>
      </c>
      <c r="DZ87" s="10">
        <f t="shared" si="211"/>
        <v>51.544646937008586</v>
      </c>
      <c r="EA87" s="10">
        <f t="shared" si="212"/>
        <v>53.606631107746026</v>
      </c>
      <c r="EB87" s="10">
        <f t="shared" si="213"/>
        <v>56.140349825407036</v>
      </c>
      <c r="EC87" s="10">
        <f t="shared" si="214"/>
        <v>59.071159766158495</v>
      </c>
      <c r="ED87" s="10">
        <f t="shared" si="215"/>
        <v>62.32221069633863</v>
      </c>
      <c r="EE87" s="10">
        <f t="shared" si="216"/>
        <v>65.814924113742165</v>
      </c>
      <c r="EF87" s="10">
        <f t="shared" si="217"/>
        <v>69.469445881795309</v>
      </c>
      <c r="EG87" s="10">
        <f t="shared" si="218"/>
        <v>73.205080756885991</v>
      </c>
    </row>
    <row r="88" spans="6:137" x14ac:dyDescent="0.3">
      <c r="F88" s="17"/>
      <c r="G88" s="3">
        <v>300</v>
      </c>
      <c r="H88" s="2">
        <f t="shared" si="277"/>
        <v>280.28451209215393</v>
      </c>
      <c r="I88" s="2">
        <f t="shared" si="278"/>
        <v>260.73576311264429</v>
      </c>
      <c r="J88" s="2">
        <f t="shared" si="279"/>
        <v>241.51747131108536</v>
      </c>
      <c r="K88" s="2">
        <f t="shared" si="252"/>
        <v>222.78741419664436</v>
      </c>
      <c r="L88" s="2">
        <f t="shared" si="253"/>
        <v>204.69470412190583</v>
      </c>
      <c r="M88" s="2">
        <f t="shared" si="254"/>
        <v>187.37734377748518</v>
      </c>
      <c r="N88" s="2">
        <f t="shared" si="255"/>
        <v>170.96013071462005</v>
      </c>
      <c r="O88" s="2">
        <f t="shared" si="256"/>
        <v>155.55296157926742</v>
      </c>
      <c r="P88" s="2">
        <f t="shared" si="257"/>
        <v>141.24956633387424</v>
      </c>
      <c r="Q88" s="2">
        <f t="shared" si="258"/>
        <v>128.12668177591524</v>
      </c>
      <c r="R88" s="2">
        <f t="shared" si="259"/>
        <v>116.24365353369208</v>
      </c>
      <c r="S88" s="2">
        <f t="shared" si="260"/>
        <v>105.64243769963889</v>
      </c>
      <c r="T88" s="2">
        <f t="shared" si="261"/>
        <v>96.347958393682021</v>
      </c>
      <c r="U88" s="2">
        <f t="shared" si="262"/>
        <v>88.368766578936103</v>
      </c>
      <c r="V88" s="2">
        <f t="shared" si="263"/>
        <v>81.69793878061553</v>
      </c>
      <c r="W88" s="2">
        <f t="shared" si="264"/>
        <v>76.314152032704527</v>
      </c>
      <c r="X88" s="2">
        <f t="shared" si="265"/>
        <v>72.182873106760724</v>
      </c>
      <c r="Y88" s="2">
        <f t="shared" si="266"/>
        <v>69.257605287816119</v>
      </c>
      <c r="Z88" s="2">
        <f t="shared" si="267"/>
        <v>67.481143862800934</v>
      </c>
      <c r="AA88" s="2">
        <f t="shared" si="268"/>
        <v>66.786801156572523</v>
      </c>
      <c r="AB88" s="2">
        <f t="shared" si="269"/>
        <v>67.099572430483136</v>
      </c>
      <c r="AC88" s="2">
        <f t="shared" si="270"/>
        <v>68.337224339554211</v>
      </c>
      <c r="AD88" s="2">
        <f t="shared" si="271"/>
        <v>70.411297145055158</v>
      </c>
      <c r="AE88" s="2">
        <f t="shared" si="272"/>
        <v>73.228019904483943</v>
      </c>
      <c r="AF88" s="2">
        <f t="shared" si="273"/>
        <v>76.689144038853101</v>
      </c>
      <c r="AG88" s="2">
        <f t="shared" si="274"/>
        <v>80.692704871583658</v>
      </c>
      <c r="AH88" s="2">
        <f t="shared" si="275"/>
        <v>85.13372303120687</v>
      </c>
      <c r="AI88" s="2">
        <f t="shared" si="276"/>
        <v>89.904858287518977</v>
      </c>
      <c r="AJ88" s="2">
        <f t="shared" si="221"/>
        <v>94.897027861362886</v>
      </c>
      <c r="AK88" s="2">
        <v>100</v>
      </c>
      <c r="AM88" s="17"/>
      <c r="AN88" s="10">
        <f t="shared" si="220"/>
        <v>-2483999999.9999995</v>
      </c>
      <c r="AO88" s="10">
        <f t="shared" si="237"/>
        <v>-2320755760.123034</v>
      </c>
      <c r="AP88" s="10">
        <f t="shared" si="238"/>
        <v>-2158892118.5726943</v>
      </c>
      <c r="AQ88" s="10">
        <f t="shared" si="239"/>
        <v>-1999764662.4557862</v>
      </c>
      <c r="AR88" s="10">
        <f t="shared" si="240"/>
        <v>-1844679789.5482149</v>
      </c>
      <c r="AS88" s="10">
        <f t="shared" si="241"/>
        <v>-1694872150.12938</v>
      </c>
      <c r="AT88" s="10">
        <f t="shared" si="242"/>
        <v>-1551484406.4775767</v>
      </c>
      <c r="AU88" s="10">
        <f t="shared" si="243"/>
        <v>-1415549882.3170536</v>
      </c>
      <c r="AV88" s="10">
        <f t="shared" si="244"/>
        <v>-1287978521.876334</v>
      </c>
      <c r="AW88" s="10">
        <f t="shared" si="245"/>
        <v>-1169546409.2444785</v>
      </c>
      <c r="AX88" s="10">
        <f t="shared" si="246"/>
        <v>-1060888925.1045781</v>
      </c>
      <c r="AY88" s="10">
        <f t="shared" si="247"/>
        <v>-962497451.25897026</v>
      </c>
      <c r="AZ88" s="10">
        <f t="shared" si="248"/>
        <v>-874719384.15300977</v>
      </c>
      <c r="BA88" s="10">
        <f t="shared" si="249"/>
        <v>-797761095.49968684</v>
      </c>
      <c r="BB88" s="10">
        <f t="shared" si="250"/>
        <v>-731693387.27359068</v>
      </c>
      <c r="BC88" s="10">
        <f t="shared" si="251"/>
        <v>-676458933.10349643</v>
      </c>
      <c r="BD88" s="10">
        <f t="shared" si="222"/>
        <v>-631881178.83079338</v>
      </c>
      <c r="BE88" s="10">
        <f t="shared" si="223"/>
        <v>-597674189.32397866</v>
      </c>
      <c r="BF88" s="10">
        <f t="shared" si="224"/>
        <v>-573452971.78311729</v>
      </c>
      <c r="BG88" s="10">
        <f t="shared" si="225"/>
        <v>-558743871.18399167</v>
      </c>
      <c r="BH88" s="10">
        <f t="shared" si="226"/>
        <v>-552994713.57642031</v>
      </c>
      <c r="BI88" s="10">
        <f t="shared" si="227"/>
        <v>-555584459.72440028</v>
      </c>
      <c r="BJ88" s="10">
        <f t="shared" si="228"/>
        <v>-565832217.53150868</v>
      </c>
      <c r="BK88" s="10">
        <f t="shared" si="229"/>
        <v>-583005540.36105657</v>
      </c>
      <c r="BL88" s="10">
        <f t="shared" si="230"/>
        <v>-606328004.80912697</v>
      </c>
      <c r="BM88" s="10">
        <f t="shared" si="231"/>
        <v>-634986112.64170361</v>
      </c>
      <c r="BN88" s="10">
        <f t="shared" si="232"/>
        <v>-668135596.3367126</v>
      </c>
      <c r="BO88" s="10">
        <f t="shared" si="233"/>
        <v>-704907226.69839263</v>
      </c>
      <c r="BP88" s="10">
        <f t="shared" si="234"/>
        <v>-744412226.62065697</v>
      </c>
      <c r="BQ88" s="10">
        <f t="shared" si="235"/>
        <v>-785747390.69208455</v>
      </c>
      <c r="BR88" s="10">
        <f t="shared" si="236"/>
        <v>-827999999.99999988</v>
      </c>
      <c r="BT88" s="17"/>
      <c r="BU88" s="10">
        <f t="shared" si="157"/>
        <v>0.26794919243136522</v>
      </c>
      <c r="BV88" s="10">
        <f t="shared" si="158"/>
        <v>0.26794919243136522</v>
      </c>
      <c r="BW88" s="10">
        <f t="shared" si="159"/>
        <v>0.26794919243136522</v>
      </c>
      <c r="BX88" s="10">
        <f t="shared" si="160"/>
        <v>0.26794919243136522</v>
      </c>
      <c r="BY88" s="10">
        <f t="shared" si="161"/>
        <v>0.26794919243136522</v>
      </c>
      <c r="BZ88" s="10">
        <f t="shared" si="162"/>
        <v>0.26794919243136522</v>
      </c>
      <c r="CA88" s="10">
        <f t="shared" si="163"/>
        <v>0.26794919243136522</v>
      </c>
      <c r="CB88" s="10">
        <f t="shared" si="164"/>
        <v>0.26794919243136522</v>
      </c>
      <c r="CC88" s="10">
        <f t="shared" si="165"/>
        <v>0.26794919243136522</v>
      </c>
      <c r="CD88" s="10">
        <f t="shared" si="166"/>
        <v>0.26794919243136522</v>
      </c>
      <c r="CE88" s="10">
        <f t="shared" si="167"/>
        <v>0.26794919243136522</v>
      </c>
      <c r="CF88" s="10">
        <f t="shared" si="168"/>
        <v>0.26794919243136522</v>
      </c>
      <c r="CG88" s="10">
        <f t="shared" si="169"/>
        <v>0.26794919243136522</v>
      </c>
      <c r="CH88" s="10">
        <f t="shared" si="170"/>
        <v>0.26794919243136522</v>
      </c>
      <c r="CI88" s="10">
        <f t="shared" si="171"/>
        <v>0.26794919243136522</v>
      </c>
      <c r="CJ88" s="10">
        <f t="shared" si="172"/>
        <v>0.26794919243136522</v>
      </c>
      <c r="CK88" s="10">
        <f t="shared" si="173"/>
        <v>0.26794919243136522</v>
      </c>
      <c r="CL88" s="10">
        <f t="shared" si="174"/>
        <v>0.26794919243136522</v>
      </c>
      <c r="CM88" s="10">
        <f t="shared" si="175"/>
        <v>0.26794919243136522</v>
      </c>
      <c r="CN88" s="10">
        <f t="shared" si="176"/>
        <v>0.26794919243136522</v>
      </c>
      <c r="CO88" s="10">
        <f t="shared" si="177"/>
        <v>0.26794919243136522</v>
      </c>
      <c r="CP88" s="10">
        <f t="shared" si="178"/>
        <v>0.26794919243136522</v>
      </c>
      <c r="CQ88" s="10">
        <f t="shared" si="179"/>
        <v>0.26794919243136522</v>
      </c>
      <c r="CR88" s="10">
        <f t="shared" si="180"/>
        <v>0.26794919243136522</v>
      </c>
      <c r="CS88" s="10">
        <f t="shared" si="181"/>
        <v>0.26794919243136522</v>
      </c>
      <c r="CT88" s="10">
        <f t="shared" si="182"/>
        <v>0.26794919243136522</v>
      </c>
      <c r="CU88" s="10">
        <f t="shared" si="183"/>
        <v>0.26794919243136522</v>
      </c>
      <c r="CV88" s="10">
        <f t="shared" si="184"/>
        <v>0.26794919243136522</v>
      </c>
      <c r="CW88" s="10">
        <f t="shared" si="185"/>
        <v>0.26794919243136522</v>
      </c>
      <c r="CX88" s="10">
        <f t="shared" si="186"/>
        <v>0.26794919243136522</v>
      </c>
      <c r="CY88" s="10">
        <f t="shared" si="187"/>
        <v>0.26794919243136522</v>
      </c>
      <c r="DB88" s="17"/>
      <c r="DC88" s="10">
        <f t="shared" si="188"/>
        <v>219.61524227059044</v>
      </c>
      <c r="DD88" s="10">
        <f t="shared" si="189"/>
        <v>205.18250342604205</v>
      </c>
      <c r="DE88" s="10">
        <f t="shared" si="190"/>
        <v>190.87182594863549</v>
      </c>
      <c r="DF88" s="10">
        <f t="shared" si="191"/>
        <v>176.80305991521462</v>
      </c>
      <c r="DG88" s="10">
        <f t="shared" si="192"/>
        <v>163.09170647878145</v>
      </c>
      <c r="DH88" s="10">
        <f t="shared" si="193"/>
        <v>149.84692345746393</v>
      </c>
      <c r="DI88" s="10">
        <f t="shared" si="194"/>
        <v>137.16973583237373</v>
      </c>
      <c r="DJ88" s="10">
        <f t="shared" si="195"/>
        <v>125.15150175167696</v>
      </c>
      <c r="DK88" s="10">
        <f t="shared" si="196"/>
        <v>113.87267114379553</v>
      </c>
      <c r="DL88" s="10">
        <f t="shared" si="197"/>
        <v>103.40185910343209</v>
      </c>
      <c r="DM88" s="10">
        <f t="shared" si="198"/>
        <v>93.795240865148244</v>
      </c>
      <c r="DN88" s="10">
        <f t="shared" si="199"/>
        <v>85.096260444067866</v>
      </c>
      <c r="DO88" s="10">
        <f t="shared" si="200"/>
        <v>77.335631831539828</v>
      </c>
      <c r="DP88" s="10">
        <f t="shared" si="201"/>
        <v>70.531600749684145</v>
      </c>
      <c r="DQ88" s="10">
        <f t="shared" si="202"/>
        <v>64.690426937954356</v>
      </c>
      <c r="DR88" s="10">
        <f t="shared" si="203"/>
        <v>59.807042061042488</v>
      </c>
      <c r="DS88" s="10">
        <f t="shared" si="204"/>
        <v>55.865836624456918</v>
      </c>
      <c r="DT88" s="10">
        <f t="shared" si="205"/>
        <v>52.84153055042848</v>
      </c>
      <c r="DU88" s="10">
        <f t="shared" si="206"/>
        <v>50.700085881215536</v>
      </c>
      <c r="DV88" s="10">
        <f t="shared" si="207"/>
        <v>49.399625860418652</v>
      </c>
      <c r="DW88" s="10">
        <f t="shared" si="208"/>
        <v>48.891331721594739</v>
      </c>
      <c r="DX88" s="10">
        <f t="shared" si="209"/>
        <v>49.120296185245287</v>
      </c>
      <c r="DY88" s="10">
        <f t="shared" si="210"/>
        <v>50.026320264769623</v>
      </c>
      <c r="DZ88" s="10">
        <f t="shared" si="211"/>
        <v>51.544646936992734</v>
      </c>
      <c r="EA88" s="10">
        <f t="shared" si="212"/>
        <v>53.606631107729534</v>
      </c>
      <c r="EB88" s="10">
        <f t="shared" si="213"/>
        <v>56.140349825389769</v>
      </c>
      <c r="EC88" s="10">
        <f t="shared" si="214"/>
        <v>59.071159766140326</v>
      </c>
      <c r="ED88" s="10">
        <f t="shared" si="215"/>
        <v>62.322210696319466</v>
      </c>
      <c r="EE88" s="10">
        <f t="shared" si="216"/>
        <v>65.814924113721929</v>
      </c>
      <c r="EF88" s="10">
        <f t="shared" si="217"/>
        <v>69.469445881773936</v>
      </c>
      <c r="EG88" s="10">
        <f t="shared" si="218"/>
        <v>73.205080756863467</v>
      </c>
    </row>
    <row r="89" spans="6:137" x14ac:dyDescent="0.3">
      <c r="F89" s="17"/>
      <c r="G89" s="3">
        <v>300</v>
      </c>
      <c r="H89" s="2">
        <f t="shared" si="277"/>
        <v>280.28451209215393</v>
      </c>
      <c r="I89" s="2">
        <f t="shared" si="278"/>
        <v>260.73576311264435</v>
      </c>
      <c r="J89" s="2">
        <f t="shared" si="279"/>
        <v>241.51747131108539</v>
      </c>
      <c r="K89" s="2">
        <f t="shared" si="252"/>
        <v>222.78741419664439</v>
      </c>
      <c r="L89" s="2">
        <f t="shared" si="253"/>
        <v>204.69470412190589</v>
      </c>
      <c r="M89" s="2">
        <f t="shared" si="254"/>
        <v>187.37734377748524</v>
      </c>
      <c r="N89" s="2">
        <f t="shared" si="255"/>
        <v>170.96013071462005</v>
      </c>
      <c r="O89" s="2">
        <f t="shared" si="256"/>
        <v>155.55296157926745</v>
      </c>
      <c r="P89" s="2">
        <f t="shared" si="257"/>
        <v>141.24956633387424</v>
      </c>
      <c r="Q89" s="2">
        <f t="shared" si="258"/>
        <v>128.12668177591527</v>
      </c>
      <c r="R89" s="2">
        <f t="shared" si="259"/>
        <v>116.2436535336921</v>
      </c>
      <c r="S89" s="2">
        <f t="shared" si="260"/>
        <v>105.64243769963889</v>
      </c>
      <c r="T89" s="2">
        <f t="shared" si="261"/>
        <v>96.347958393682049</v>
      </c>
      <c r="U89" s="2">
        <f t="shared" si="262"/>
        <v>88.368766578936132</v>
      </c>
      <c r="V89" s="2">
        <f t="shared" si="263"/>
        <v>81.697938780615544</v>
      </c>
      <c r="W89" s="2">
        <f t="shared" si="264"/>
        <v>76.314152032704541</v>
      </c>
      <c r="X89" s="2">
        <f t="shared" si="265"/>
        <v>72.182873106760738</v>
      </c>
      <c r="Y89" s="2">
        <f t="shared" si="266"/>
        <v>69.257605287816133</v>
      </c>
      <c r="Z89" s="2">
        <f t="shared" si="267"/>
        <v>67.481143862800963</v>
      </c>
      <c r="AA89" s="2">
        <f t="shared" si="268"/>
        <v>66.786801156572551</v>
      </c>
      <c r="AB89" s="2">
        <f t="shared" si="269"/>
        <v>67.099572430483164</v>
      </c>
      <c r="AC89" s="2">
        <f t="shared" si="270"/>
        <v>68.337224339554226</v>
      </c>
      <c r="AD89" s="2">
        <f t="shared" si="271"/>
        <v>70.411297145055158</v>
      </c>
      <c r="AE89" s="2">
        <f t="shared" si="272"/>
        <v>73.228019904483958</v>
      </c>
      <c r="AF89" s="2">
        <f t="shared" si="273"/>
        <v>76.689144038853115</v>
      </c>
      <c r="AG89" s="2">
        <f t="shared" si="274"/>
        <v>80.692704871583672</v>
      </c>
      <c r="AH89" s="2">
        <f t="shared" si="275"/>
        <v>85.133723031206884</v>
      </c>
      <c r="AI89" s="2">
        <f t="shared" si="276"/>
        <v>89.904858287519005</v>
      </c>
      <c r="AJ89" s="2">
        <f t="shared" si="221"/>
        <v>94.897027861362901</v>
      </c>
      <c r="AK89" s="2">
        <v>100</v>
      </c>
      <c r="AM89" s="17"/>
      <c r="AN89" s="10">
        <f t="shared" si="220"/>
        <v>-2483999999.9999995</v>
      </c>
      <c r="AO89" s="10">
        <f t="shared" si="237"/>
        <v>-2320755760.1230345</v>
      </c>
      <c r="AP89" s="10">
        <f t="shared" si="238"/>
        <v>-2158892118.5726948</v>
      </c>
      <c r="AQ89" s="10">
        <f t="shared" si="239"/>
        <v>-1999764662.4557867</v>
      </c>
      <c r="AR89" s="10">
        <f t="shared" si="240"/>
        <v>-1844679789.5482154</v>
      </c>
      <c r="AS89" s="10">
        <f t="shared" si="241"/>
        <v>-1694872150.1293805</v>
      </c>
      <c r="AT89" s="10">
        <f t="shared" si="242"/>
        <v>-1551484406.4775777</v>
      </c>
      <c r="AU89" s="10">
        <f t="shared" si="243"/>
        <v>-1415549882.3170536</v>
      </c>
      <c r="AV89" s="10">
        <f t="shared" si="244"/>
        <v>-1287978521.876334</v>
      </c>
      <c r="AW89" s="10">
        <f t="shared" si="245"/>
        <v>-1169546409.2444785</v>
      </c>
      <c r="AX89" s="10">
        <f t="shared" si="246"/>
        <v>-1060888925.1045783</v>
      </c>
      <c r="AY89" s="10">
        <f t="shared" si="247"/>
        <v>-962497451.25897026</v>
      </c>
      <c r="AZ89" s="10">
        <f t="shared" si="248"/>
        <v>-874719384.15300977</v>
      </c>
      <c r="BA89" s="10">
        <f t="shared" si="249"/>
        <v>-797761095.49968708</v>
      </c>
      <c r="BB89" s="10">
        <f t="shared" si="250"/>
        <v>-731693387.27359104</v>
      </c>
      <c r="BC89" s="10">
        <f t="shared" si="251"/>
        <v>-676458933.10349655</v>
      </c>
      <c r="BD89" s="10">
        <f t="shared" si="222"/>
        <v>-631881178.83079338</v>
      </c>
      <c r="BE89" s="10">
        <f t="shared" si="223"/>
        <v>-597674189.32397878</v>
      </c>
      <c r="BF89" s="10">
        <f t="shared" si="224"/>
        <v>-573452971.78311741</v>
      </c>
      <c r="BG89" s="10">
        <f t="shared" si="225"/>
        <v>-558743871.18399191</v>
      </c>
      <c r="BH89" s="10">
        <f t="shared" si="226"/>
        <v>-552994713.57642055</v>
      </c>
      <c r="BI89" s="10">
        <f t="shared" si="227"/>
        <v>-555584459.72440052</v>
      </c>
      <c r="BJ89" s="10">
        <f t="shared" si="228"/>
        <v>-565832217.5315088</v>
      </c>
      <c r="BK89" s="10">
        <f t="shared" si="229"/>
        <v>-583005540.36105657</v>
      </c>
      <c r="BL89" s="10">
        <f t="shared" si="230"/>
        <v>-606328004.80912697</v>
      </c>
      <c r="BM89" s="10">
        <f t="shared" si="231"/>
        <v>-634986112.64170361</v>
      </c>
      <c r="BN89" s="10">
        <f t="shared" si="232"/>
        <v>-668135596.3367126</v>
      </c>
      <c r="BO89" s="10">
        <f t="shared" si="233"/>
        <v>-704907226.69839275</v>
      </c>
      <c r="BP89" s="10">
        <f t="shared" si="234"/>
        <v>-744412226.62065721</v>
      </c>
      <c r="BQ89" s="10">
        <f t="shared" si="235"/>
        <v>-785747390.69208455</v>
      </c>
      <c r="BR89" s="10">
        <f t="shared" si="236"/>
        <v>-827999999.99999988</v>
      </c>
      <c r="BT89" s="17"/>
      <c r="BU89" s="10">
        <f t="shared" si="157"/>
        <v>0.26794919243450094</v>
      </c>
      <c r="BV89" s="10">
        <f t="shared" si="158"/>
        <v>0.26794919243450094</v>
      </c>
      <c r="BW89" s="10">
        <f t="shared" si="159"/>
        <v>0.26794919243450094</v>
      </c>
      <c r="BX89" s="10">
        <f t="shared" si="160"/>
        <v>0.26794919243450094</v>
      </c>
      <c r="BY89" s="10">
        <f t="shared" si="161"/>
        <v>0.26794919243450094</v>
      </c>
      <c r="BZ89" s="10">
        <f t="shared" si="162"/>
        <v>0.26794919243450094</v>
      </c>
      <c r="CA89" s="10">
        <f t="shared" si="163"/>
        <v>0.26794919243450094</v>
      </c>
      <c r="CB89" s="10">
        <f t="shared" si="164"/>
        <v>0.26794919243450094</v>
      </c>
      <c r="CC89" s="10">
        <f t="shared" si="165"/>
        <v>0.26794919243450094</v>
      </c>
      <c r="CD89" s="10">
        <f t="shared" si="166"/>
        <v>0.26794919243450094</v>
      </c>
      <c r="CE89" s="10">
        <f t="shared" si="167"/>
        <v>0.26794919243450094</v>
      </c>
      <c r="CF89" s="10">
        <f t="shared" si="168"/>
        <v>0.26794919243450094</v>
      </c>
      <c r="CG89" s="10">
        <f t="shared" si="169"/>
        <v>0.26794919243450094</v>
      </c>
      <c r="CH89" s="10">
        <f t="shared" si="170"/>
        <v>0.26794919243450094</v>
      </c>
      <c r="CI89" s="10">
        <f t="shared" si="171"/>
        <v>0.26794919243450094</v>
      </c>
      <c r="CJ89" s="10">
        <f t="shared" si="172"/>
        <v>0.26794919243450094</v>
      </c>
      <c r="CK89" s="10">
        <f t="shared" si="173"/>
        <v>0.26794919243450094</v>
      </c>
      <c r="CL89" s="10">
        <f t="shared" si="174"/>
        <v>0.26794919243450094</v>
      </c>
      <c r="CM89" s="10">
        <f t="shared" si="175"/>
        <v>0.26794919243450094</v>
      </c>
      <c r="CN89" s="10">
        <f t="shared" si="176"/>
        <v>0.26794919243450094</v>
      </c>
      <c r="CO89" s="10">
        <f t="shared" si="177"/>
        <v>0.26794919243450094</v>
      </c>
      <c r="CP89" s="10">
        <f t="shared" si="178"/>
        <v>0.26794919243450094</v>
      </c>
      <c r="CQ89" s="10">
        <f t="shared" si="179"/>
        <v>0.26794919243450094</v>
      </c>
      <c r="CR89" s="10">
        <f t="shared" si="180"/>
        <v>0.26794919243450094</v>
      </c>
      <c r="CS89" s="10">
        <f t="shared" si="181"/>
        <v>0.26794919243450094</v>
      </c>
      <c r="CT89" s="10">
        <f t="shared" si="182"/>
        <v>0.26794919243450094</v>
      </c>
      <c r="CU89" s="10">
        <f t="shared" si="183"/>
        <v>0.26794919243450094</v>
      </c>
      <c r="CV89" s="10">
        <f t="shared" si="184"/>
        <v>0.26794919243450094</v>
      </c>
      <c r="CW89" s="10">
        <f t="shared" si="185"/>
        <v>0.26794919243450094</v>
      </c>
      <c r="CX89" s="10">
        <f t="shared" si="186"/>
        <v>0.26794919243450094</v>
      </c>
      <c r="CY89" s="10">
        <f t="shared" si="187"/>
        <v>0.26794919243450094</v>
      </c>
      <c r="DB89" s="17"/>
      <c r="DC89" s="10">
        <f t="shared" si="188"/>
        <v>219.61524226964974</v>
      </c>
      <c r="DD89" s="10">
        <f t="shared" si="189"/>
        <v>205.18250342516319</v>
      </c>
      <c r="DE89" s="10">
        <f t="shared" si="190"/>
        <v>190.87182594781794</v>
      </c>
      <c r="DF89" s="10">
        <f t="shared" si="191"/>
        <v>176.80305991445732</v>
      </c>
      <c r="DG89" s="10">
        <f t="shared" si="192"/>
        <v>163.09170647808287</v>
      </c>
      <c r="DH89" s="10">
        <f t="shared" si="193"/>
        <v>149.84692345682211</v>
      </c>
      <c r="DI89" s="10">
        <f t="shared" si="194"/>
        <v>137.16973583178623</v>
      </c>
      <c r="DJ89" s="10">
        <f t="shared" si="195"/>
        <v>125.1515017511409</v>
      </c>
      <c r="DK89" s="10">
        <f t="shared" si="196"/>
        <v>113.87267114330778</v>
      </c>
      <c r="DL89" s="10">
        <f t="shared" si="197"/>
        <v>103.40185910298918</v>
      </c>
      <c r="DM89" s="10">
        <f t="shared" si="198"/>
        <v>93.795240864746503</v>
      </c>
      <c r="DN89" s="10">
        <f t="shared" si="199"/>
        <v>85.096260443703386</v>
      </c>
      <c r="DO89" s="10">
        <f t="shared" si="200"/>
        <v>77.335631831208573</v>
      </c>
      <c r="DP89" s="10">
        <f t="shared" si="201"/>
        <v>70.531600749382051</v>
      </c>
      <c r="DQ89" s="10">
        <f t="shared" si="202"/>
        <v>64.690426937677287</v>
      </c>
      <c r="DR89" s="10">
        <f t="shared" si="203"/>
        <v>59.807042060786316</v>
      </c>
      <c r="DS89" s="10">
        <f t="shared" si="204"/>
        <v>55.865836624217636</v>
      </c>
      <c r="DT89" s="10">
        <f t="shared" si="205"/>
        <v>52.841530550202144</v>
      </c>
      <c r="DU89" s="10">
        <f t="shared" si="206"/>
        <v>50.700085880998387</v>
      </c>
      <c r="DV89" s="10">
        <f t="shared" si="207"/>
        <v>49.399625860207074</v>
      </c>
      <c r="DW89" s="10">
        <f t="shared" si="208"/>
        <v>48.891331721385342</v>
      </c>
      <c r="DX89" s="10">
        <f t="shared" si="209"/>
        <v>49.12029618503491</v>
      </c>
      <c r="DY89" s="10">
        <f t="shared" si="210"/>
        <v>50.026320264555352</v>
      </c>
      <c r="DZ89" s="10">
        <f t="shared" si="211"/>
        <v>51.544646936771947</v>
      </c>
      <c r="EA89" s="10">
        <f t="shared" si="212"/>
        <v>53.606631107499922</v>
      </c>
      <c r="EB89" s="10">
        <f t="shared" si="213"/>
        <v>56.140349825149308</v>
      </c>
      <c r="EC89" s="10">
        <f t="shared" si="214"/>
        <v>59.071159765887309</v>
      </c>
      <c r="ED89" s="10">
        <f t="shared" si="215"/>
        <v>62.322210696052529</v>
      </c>
      <c r="EE89" s="10">
        <f t="shared" si="216"/>
        <v>65.814924113440043</v>
      </c>
      <c r="EF89" s="10">
        <f t="shared" si="217"/>
        <v>69.469445881476375</v>
      </c>
      <c r="EG89" s="10">
        <f t="shared" si="218"/>
        <v>73.205080756549904</v>
      </c>
    </row>
    <row r="90" spans="6:137" x14ac:dyDescent="0.3">
      <c r="F90" s="17"/>
      <c r="G90" s="3">
        <v>300</v>
      </c>
      <c r="H90" s="2">
        <f t="shared" si="277"/>
        <v>280.28451209215399</v>
      </c>
      <c r="I90" s="2">
        <f t="shared" si="278"/>
        <v>260.73576311264435</v>
      </c>
      <c r="J90" s="2">
        <f t="shared" si="279"/>
        <v>241.51747131108542</v>
      </c>
      <c r="K90" s="2">
        <f t="shared" si="252"/>
        <v>222.78741419664442</v>
      </c>
      <c r="L90" s="2">
        <f t="shared" si="253"/>
        <v>204.69470412190591</v>
      </c>
      <c r="M90" s="2">
        <f t="shared" si="254"/>
        <v>187.37734377748529</v>
      </c>
      <c r="N90" s="2">
        <f t="shared" si="255"/>
        <v>170.96013071462011</v>
      </c>
      <c r="O90" s="2">
        <f t="shared" si="256"/>
        <v>155.55296157926745</v>
      </c>
      <c r="P90" s="2">
        <f t="shared" si="257"/>
        <v>141.2495663338743</v>
      </c>
      <c r="Q90" s="2">
        <f t="shared" si="258"/>
        <v>128.12668177591533</v>
      </c>
      <c r="R90" s="2">
        <f t="shared" si="259"/>
        <v>116.24365353369215</v>
      </c>
      <c r="S90" s="2">
        <f t="shared" si="260"/>
        <v>105.64243769963892</v>
      </c>
      <c r="T90" s="2">
        <f t="shared" si="261"/>
        <v>96.347958393682077</v>
      </c>
      <c r="U90" s="2">
        <f t="shared" si="262"/>
        <v>88.368766578936146</v>
      </c>
      <c r="V90" s="2">
        <f t="shared" si="263"/>
        <v>81.697938780615573</v>
      </c>
      <c r="W90" s="2">
        <f t="shared" si="264"/>
        <v>76.314152032704555</v>
      </c>
      <c r="X90" s="2">
        <f t="shared" si="265"/>
        <v>72.182873106760752</v>
      </c>
      <c r="Y90" s="2">
        <f t="shared" si="266"/>
        <v>69.257605287816162</v>
      </c>
      <c r="Z90" s="2">
        <f t="shared" si="267"/>
        <v>67.481143862800991</v>
      </c>
      <c r="AA90" s="2">
        <f t="shared" si="268"/>
        <v>66.786801156572579</v>
      </c>
      <c r="AB90" s="2">
        <f t="shared" si="269"/>
        <v>67.099572430483192</v>
      </c>
      <c r="AC90" s="2">
        <f t="shared" si="270"/>
        <v>68.33722433955424</v>
      </c>
      <c r="AD90" s="2">
        <f t="shared" si="271"/>
        <v>70.411297145055187</v>
      </c>
      <c r="AE90" s="2">
        <f t="shared" si="272"/>
        <v>73.228019904483986</v>
      </c>
      <c r="AF90" s="2">
        <f t="shared" si="273"/>
        <v>76.689144038853144</v>
      </c>
      <c r="AG90" s="2">
        <f t="shared" si="274"/>
        <v>80.6927048715837</v>
      </c>
      <c r="AH90" s="2">
        <f t="shared" si="275"/>
        <v>85.133723031206898</v>
      </c>
      <c r="AI90" s="2">
        <f t="shared" si="276"/>
        <v>89.904858287519033</v>
      </c>
      <c r="AJ90" s="2">
        <f t="shared" si="221"/>
        <v>94.897027861362915</v>
      </c>
      <c r="AK90" s="2">
        <v>100</v>
      </c>
      <c r="AM90" s="17"/>
      <c r="AN90" s="10">
        <f t="shared" si="220"/>
        <v>-2483999999.9999995</v>
      </c>
      <c r="AO90" s="10">
        <f t="shared" si="237"/>
        <v>-2320755760.1230345</v>
      </c>
      <c r="AP90" s="10">
        <f t="shared" si="238"/>
        <v>-2158892118.5726948</v>
      </c>
      <c r="AQ90" s="10">
        <f t="shared" si="239"/>
        <v>-1999764662.4557867</v>
      </c>
      <c r="AR90" s="10">
        <f t="shared" si="240"/>
        <v>-1844679789.5482154</v>
      </c>
      <c r="AS90" s="10">
        <f t="shared" si="241"/>
        <v>-1694872150.1293805</v>
      </c>
      <c r="AT90" s="10">
        <f t="shared" si="242"/>
        <v>-1551484406.4775777</v>
      </c>
      <c r="AU90" s="10">
        <f t="shared" si="243"/>
        <v>-1415549882.3170543</v>
      </c>
      <c r="AV90" s="10">
        <f t="shared" si="244"/>
        <v>-1287978521.8763342</v>
      </c>
      <c r="AW90" s="10">
        <f t="shared" si="245"/>
        <v>-1169546409.2444789</v>
      </c>
      <c r="AX90" s="10">
        <f t="shared" si="246"/>
        <v>-1060888925.1045787</v>
      </c>
      <c r="AY90" s="10">
        <f t="shared" si="247"/>
        <v>-962497451.25897086</v>
      </c>
      <c r="AZ90" s="10">
        <f t="shared" si="248"/>
        <v>-874719384.15301001</v>
      </c>
      <c r="BA90" s="10">
        <f t="shared" si="249"/>
        <v>-797761095.49968731</v>
      </c>
      <c r="BB90" s="10">
        <f t="shared" si="250"/>
        <v>-731693387.27359116</v>
      </c>
      <c r="BC90" s="10">
        <f t="shared" si="251"/>
        <v>-676458933.10349679</v>
      </c>
      <c r="BD90" s="10">
        <f t="shared" si="222"/>
        <v>-631881178.83079362</v>
      </c>
      <c r="BE90" s="10">
        <f t="shared" si="223"/>
        <v>-597674189.3239789</v>
      </c>
      <c r="BF90" s="10">
        <f t="shared" si="224"/>
        <v>-573452971.78311765</v>
      </c>
      <c r="BG90" s="10">
        <f t="shared" si="225"/>
        <v>-558743871.18399215</v>
      </c>
      <c r="BH90" s="10">
        <f t="shared" si="226"/>
        <v>-552994713.57642078</v>
      </c>
      <c r="BI90" s="10">
        <f t="shared" si="227"/>
        <v>-555584459.72440076</v>
      </c>
      <c r="BJ90" s="10">
        <f t="shared" si="228"/>
        <v>-565832217.53150904</v>
      </c>
      <c r="BK90" s="10">
        <f t="shared" si="229"/>
        <v>-583005540.36105692</v>
      </c>
      <c r="BL90" s="10">
        <f t="shared" si="230"/>
        <v>-606328004.80912721</v>
      </c>
      <c r="BM90" s="10">
        <f t="shared" si="231"/>
        <v>-634986112.64170384</v>
      </c>
      <c r="BN90" s="10">
        <f t="shared" si="232"/>
        <v>-668135596.33671284</v>
      </c>
      <c r="BO90" s="10">
        <f t="shared" si="233"/>
        <v>-704907226.69839311</v>
      </c>
      <c r="BP90" s="10">
        <f t="shared" si="234"/>
        <v>-744412226.62065732</v>
      </c>
      <c r="BQ90" s="10">
        <f t="shared" si="235"/>
        <v>-785747390.69208479</v>
      </c>
      <c r="BR90" s="10">
        <f t="shared" si="236"/>
        <v>-827999999.99999988</v>
      </c>
      <c r="BT90" s="17"/>
      <c r="BU90" s="10">
        <f t="shared" si="157"/>
        <v>0.26794919247817572</v>
      </c>
      <c r="BV90" s="10">
        <f t="shared" si="158"/>
        <v>0.26794919247817572</v>
      </c>
      <c r="BW90" s="10">
        <f t="shared" si="159"/>
        <v>0.26794919247817572</v>
      </c>
      <c r="BX90" s="10">
        <f t="shared" si="160"/>
        <v>0.26794919247817572</v>
      </c>
      <c r="BY90" s="10">
        <f t="shared" si="161"/>
        <v>0.26794919247817572</v>
      </c>
      <c r="BZ90" s="10">
        <f t="shared" si="162"/>
        <v>0.26794919247817572</v>
      </c>
      <c r="CA90" s="10">
        <f t="shared" si="163"/>
        <v>0.26794919247817572</v>
      </c>
      <c r="CB90" s="10">
        <f t="shared" si="164"/>
        <v>0.26794919247817572</v>
      </c>
      <c r="CC90" s="10">
        <f t="shared" si="165"/>
        <v>0.26794919247817572</v>
      </c>
      <c r="CD90" s="10">
        <f t="shared" si="166"/>
        <v>0.26794919247817572</v>
      </c>
      <c r="CE90" s="10">
        <f t="shared" si="167"/>
        <v>0.26794919247817572</v>
      </c>
      <c r="CF90" s="10">
        <f t="shared" si="168"/>
        <v>0.26794919247817572</v>
      </c>
      <c r="CG90" s="10">
        <f t="shared" si="169"/>
        <v>0.26794919247817572</v>
      </c>
      <c r="CH90" s="10">
        <f t="shared" si="170"/>
        <v>0.26794919247817572</v>
      </c>
      <c r="CI90" s="10">
        <f t="shared" si="171"/>
        <v>0.26794919247817572</v>
      </c>
      <c r="CJ90" s="10">
        <f t="shared" si="172"/>
        <v>0.26794919247817572</v>
      </c>
      <c r="CK90" s="10">
        <f t="shared" si="173"/>
        <v>0.26794919247817572</v>
      </c>
      <c r="CL90" s="10">
        <f t="shared" si="174"/>
        <v>0.26794919247817572</v>
      </c>
      <c r="CM90" s="10">
        <f t="shared" si="175"/>
        <v>0.26794919247817572</v>
      </c>
      <c r="CN90" s="10">
        <f t="shared" si="176"/>
        <v>0.26794919247817572</v>
      </c>
      <c r="CO90" s="10">
        <f t="shared" si="177"/>
        <v>0.26794919247817572</v>
      </c>
      <c r="CP90" s="10">
        <f t="shared" si="178"/>
        <v>0.26794919247817572</v>
      </c>
      <c r="CQ90" s="10">
        <f t="shared" si="179"/>
        <v>0.26794919247817572</v>
      </c>
      <c r="CR90" s="10">
        <f t="shared" si="180"/>
        <v>0.26794919247817572</v>
      </c>
      <c r="CS90" s="10">
        <f t="shared" si="181"/>
        <v>0.26794919247817572</v>
      </c>
      <c r="CT90" s="10">
        <f t="shared" si="182"/>
        <v>0.26794919247817572</v>
      </c>
      <c r="CU90" s="10">
        <f t="shared" si="183"/>
        <v>0.26794919247817572</v>
      </c>
      <c r="CV90" s="10">
        <f t="shared" si="184"/>
        <v>0.26794919247817572</v>
      </c>
      <c r="CW90" s="10">
        <f t="shared" si="185"/>
        <v>0.26794919247817572</v>
      </c>
      <c r="CX90" s="10">
        <f t="shared" si="186"/>
        <v>0.26794919247817572</v>
      </c>
      <c r="CY90" s="10">
        <f t="shared" si="187"/>
        <v>0.26794919247817572</v>
      </c>
      <c r="DB90" s="17"/>
      <c r="DC90" s="10">
        <f t="shared" si="188"/>
        <v>219.6152422565473</v>
      </c>
      <c r="DD90" s="10">
        <f t="shared" si="189"/>
        <v>205.18250341292185</v>
      </c>
      <c r="DE90" s="10">
        <f t="shared" si="190"/>
        <v>190.87182593643041</v>
      </c>
      <c r="DF90" s="10">
        <f t="shared" si="191"/>
        <v>176.80305990390912</v>
      </c>
      <c r="DG90" s="10">
        <f t="shared" si="192"/>
        <v>163.0917064683527</v>
      </c>
      <c r="DH90" s="10">
        <f t="shared" si="193"/>
        <v>149.84692344788212</v>
      </c>
      <c r="DI90" s="10">
        <f t="shared" si="194"/>
        <v>137.16973582360259</v>
      </c>
      <c r="DJ90" s="10">
        <f t="shared" si="195"/>
        <v>125.15150174367429</v>
      </c>
      <c r="DK90" s="10">
        <f t="shared" si="196"/>
        <v>113.87267113651406</v>
      </c>
      <c r="DL90" s="10">
        <f t="shared" si="197"/>
        <v>103.40185909682017</v>
      </c>
      <c r="DM90" s="10">
        <f t="shared" si="198"/>
        <v>93.795240859150638</v>
      </c>
      <c r="DN90" s="10">
        <f t="shared" si="199"/>
        <v>85.096260438626516</v>
      </c>
      <c r="DO90" s="10">
        <f t="shared" si="200"/>
        <v>77.335631826594692</v>
      </c>
      <c r="DP90" s="10">
        <f t="shared" si="201"/>
        <v>70.531600745174103</v>
      </c>
      <c r="DQ90" s="10">
        <f t="shared" si="202"/>
        <v>64.690426933817804</v>
      </c>
      <c r="DR90" s="10">
        <f t="shared" si="203"/>
        <v>59.807042057218197</v>
      </c>
      <c r="DS90" s="10">
        <f t="shared" si="204"/>
        <v>55.865836620884643</v>
      </c>
      <c r="DT90" s="10">
        <f t="shared" si="205"/>
        <v>52.841530547049587</v>
      </c>
      <c r="DU90" s="10">
        <f t="shared" si="206"/>
        <v>50.700085877973592</v>
      </c>
      <c r="DV90" s="10">
        <f t="shared" si="207"/>
        <v>49.399625857259871</v>
      </c>
      <c r="DW90" s="10">
        <f t="shared" si="208"/>
        <v>48.891331718468464</v>
      </c>
      <c r="DX90" s="10">
        <f t="shared" si="209"/>
        <v>49.120296182104369</v>
      </c>
      <c r="DY90" s="10">
        <f t="shared" si="210"/>
        <v>50.026320261570753</v>
      </c>
      <c r="DZ90" s="10">
        <f t="shared" si="211"/>
        <v>51.544646933696782</v>
      </c>
      <c r="EA90" s="10">
        <f t="shared" si="212"/>
        <v>53.606631104301727</v>
      </c>
      <c r="EB90" s="10">
        <f t="shared" si="213"/>
        <v>56.140349821799944</v>
      </c>
      <c r="EC90" s="10">
        <f t="shared" si="214"/>
        <v>59.071159762363095</v>
      </c>
      <c r="ED90" s="10">
        <f t="shared" si="215"/>
        <v>62.322210692334352</v>
      </c>
      <c r="EE90" s="10">
        <f t="shared" si="216"/>
        <v>65.814924109513484</v>
      </c>
      <c r="EF90" s="10">
        <f t="shared" si="217"/>
        <v>69.469445877331779</v>
      </c>
      <c r="EG90" s="10">
        <f t="shared" si="218"/>
        <v>73.205080752182425</v>
      </c>
    </row>
    <row r="91" spans="6:137" x14ac:dyDescent="0.3">
      <c r="F91" s="17"/>
      <c r="G91" s="3">
        <v>300</v>
      </c>
      <c r="H91" s="2">
        <f t="shared" si="277"/>
        <v>280.28451209215399</v>
      </c>
      <c r="I91" s="2">
        <f t="shared" si="278"/>
        <v>260.73576311264435</v>
      </c>
      <c r="J91" s="2">
        <f t="shared" si="279"/>
        <v>241.51747131108544</v>
      </c>
      <c r="K91" s="2">
        <f t="shared" si="252"/>
        <v>222.78741419664442</v>
      </c>
      <c r="L91" s="2">
        <f t="shared" si="253"/>
        <v>204.69470412190591</v>
      </c>
      <c r="M91" s="2">
        <f t="shared" si="254"/>
        <v>187.37734377748527</v>
      </c>
      <c r="N91" s="2">
        <f t="shared" si="255"/>
        <v>170.96013071462011</v>
      </c>
      <c r="O91" s="2">
        <f t="shared" si="256"/>
        <v>155.55296157926745</v>
      </c>
      <c r="P91" s="2">
        <f t="shared" si="257"/>
        <v>141.2495663338743</v>
      </c>
      <c r="Q91" s="2">
        <f t="shared" si="258"/>
        <v>128.12668177591533</v>
      </c>
      <c r="R91" s="2">
        <f t="shared" si="259"/>
        <v>116.24365353369214</v>
      </c>
      <c r="S91" s="2">
        <f t="shared" si="260"/>
        <v>105.64243769963893</v>
      </c>
      <c r="T91" s="2">
        <f t="shared" si="261"/>
        <v>96.347958393682077</v>
      </c>
      <c r="U91" s="2">
        <f t="shared" si="262"/>
        <v>88.368766578936146</v>
      </c>
      <c r="V91" s="2">
        <f t="shared" si="263"/>
        <v>81.697938780615573</v>
      </c>
      <c r="W91" s="2">
        <f t="shared" si="264"/>
        <v>76.314152032704555</v>
      </c>
      <c r="X91" s="2">
        <f t="shared" si="265"/>
        <v>72.182873106760752</v>
      </c>
      <c r="Y91" s="2">
        <f t="shared" si="266"/>
        <v>69.257605287816162</v>
      </c>
      <c r="Z91" s="2">
        <f t="shared" si="267"/>
        <v>67.481143862800991</v>
      </c>
      <c r="AA91" s="2">
        <f t="shared" si="268"/>
        <v>66.786801156572579</v>
      </c>
      <c r="AB91" s="2">
        <f t="shared" si="269"/>
        <v>67.099572430483192</v>
      </c>
      <c r="AC91" s="2">
        <f t="shared" si="270"/>
        <v>68.337224339554254</v>
      </c>
      <c r="AD91" s="2">
        <f t="shared" si="271"/>
        <v>70.411297145055201</v>
      </c>
      <c r="AE91" s="2">
        <f t="shared" si="272"/>
        <v>73.228019904483986</v>
      </c>
      <c r="AF91" s="2">
        <f t="shared" si="273"/>
        <v>76.689144038853144</v>
      </c>
      <c r="AG91" s="2">
        <f t="shared" si="274"/>
        <v>80.6927048715837</v>
      </c>
      <c r="AH91" s="2">
        <f t="shared" si="275"/>
        <v>85.133723031206898</v>
      </c>
      <c r="AI91" s="2">
        <f t="shared" si="276"/>
        <v>89.904858287519019</v>
      </c>
      <c r="AJ91" s="2">
        <f t="shared" si="221"/>
        <v>94.897027861362901</v>
      </c>
      <c r="AK91" s="2">
        <v>100</v>
      </c>
      <c r="AM91" s="17"/>
      <c r="AN91" s="10">
        <f t="shared" si="220"/>
        <v>-2483999999.9999995</v>
      </c>
      <c r="AO91" s="10">
        <f t="shared" si="237"/>
        <v>-2320755760.1230345</v>
      </c>
      <c r="AP91" s="10">
        <f t="shared" si="238"/>
        <v>-2158892118.5726948</v>
      </c>
      <c r="AQ91" s="10">
        <f t="shared" si="239"/>
        <v>-1999764662.4557867</v>
      </c>
      <c r="AR91" s="10">
        <f t="shared" si="240"/>
        <v>-1844679789.5482154</v>
      </c>
      <c r="AS91" s="10">
        <f t="shared" si="241"/>
        <v>-1694872150.1293805</v>
      </c>
      <c r="AT91" s="10">
        <f t="shared" si="242"/>
        <v>-1551484406.4775777</v>
      </c>
      <c r="AU91" s="10">
        <f t="shared" si="243"/>
        <v>-1415549882.3170543</v>
      </c>
      <c r="AV91" s="10">
        <f t="shared" si="244"/>
        <v>-1287978521.8763342</v>
      </c>
      <c r="AW91" s="10">
        <f t="shared" si="245"/>
        <v>-1169546409.2444789</v>
      </c>
      <c r="AX91" s="10">
        <f t="shared" si="246"/>
        <v>-1060888925.1045785</v>
      </c>
      <c r="AY91" s="10">
        <f t="shared" si="247"/>
        <v>-962497451.25897086</v>
      </c>
      <c r="AZ91" s="10">
        <f t="shared" si="248"/>
        <v>-874719384.15301025</v>
      </c>
      <c r="BA91" s="10">
        <f t="shared" si="249"/>
        <v>-797761095.49968731</v>
      </c>
      <c r="BB91" s="10">
        <f t="shared" si="250"/>
        <v>-731693387.27359116</v>
      </c>
      <c r="BC91" s="10">
        <f t="shared" si="251"/>
        <v>-676458933.10349691</v>
      </c>
      <c r="BD91" s="10">
        <f t="shared" si="222"/>
        <v>-631881178.83079362</v>
      </c>
      <c r="BE91" s="10">
        <f t="shared" si="223"/>
        <v>-597674189.32397902</v>
      </c>
      <c r="BF91" s="10">
        <f t="shared" si="224"/>
        <v>-573452971.78311765</v>
      </c>
      <c r="BG91" s="10">
        <f t="shared" si="225"/>
        <v>-558743871.18399215</v>
      </c>
      <c r="BH91" s="10">
        <f t="shared" si="226"/>
        <v>-552994713.57642078</v>
      </c>
      <c r="BI91" s="10">
        <f t="shared" si="227"/>
        <v>-555584459.72440076</v>
      </c>
      <c r="BJ91" s="10">
        <f t="shared" si="228"/>
        <v>-565832217.53150904</v>
      </c>
      <c r="BK91" s="10">
        <f t="shared" si="229"/>
        <v>-583005540.36105692</v>
      </c>
      <c r="BL91" s="10">
        <f t="shared" si="230"/>
        <v>-606328004.80912721</v>
      </c>
      <c r="BM91" s="10">
        <f t="shared" si="231"/>
        <v>-634986112.64170384</v>
      </c>
      <c r="BN91" s="10">
        <f t="shared" si="232"/>
        <v>-668135596.33671284</v>
      </c>
      <c r="BO91" s="10">
        <f t="shared" si="233"/>
        <v>-704907226.69839299</v>
      </c>
      <c r="BP91" s="10">
        <f t="shared" si="234"/>
        <v>-744412226.62065721</v>
      </c>
      <c r="BQ91" s="10">
        <f t="shared" si="235"/>
        <v>-785747390.69208455</v>
      </c>
      <c r="BR91" s="10">
        <f t="shared" si="236"/>
        <v>-827999999.99999988</v>
      </c>
      <c r="BT91" s="17"/>
      <c r="BU91" s="10">
        <f t="shared" si="157"/>
        <v>0.26794919308648629</v>
      </c>
      <c r="BV91" s="10">
        <f t="shared" si="158"/>
        <v>0.26794919308648629</v>
      </c>
      <c r="BW91" s="10">
        <f t="shared" si="159"/>
        <v>0.26794919308648629</v>
      </c>
      <c r="BX91" s="10">
        <f t="shared" si="160"/>
        <v>0.26794919308648629</v>
      </c>
      <c r="BY91" s="10">
        <f t="shared" si="161"/>
        <v>0.26794919308648629</v>
      </c>
      <c r="BZ91" s="10">
        <f t="shared" si="162"/>
        <v>0.26794919308648629</v>
      </c>
      <c r="CA91" s="10">
        <f t="shared" si="163"/>
        <v>0.26794919308648629</v>
      </c>
      <c r="CB91" s="10">
        <f t="shared" si="164"/>
        <v>0.26794919308648629</v>
      </c>
      <c r="CC91" s="10">
        <f t="shared" si="165"/>
        <v>0.26794919308648629</v>
      </c>
      <c r="CD91" s="10">
        <f t="shared" si="166"/>
        <v>0.26794919308648629</v>
      </c>
      <c r="CE91" s="10">
        <f t="shared" si="167"/>
        <v>0.26794919308648629</v>
      </c>
      <c r="CF91" s="10">
        <f t="shared" si="168"/>
        <v>0.26794919308648629</v>
      </c>
      <c r="CG91" s="10">
        <f t="shared" si="169"/>
        <v>0.26794919308648629</v>
      </c>
      <c r="CH91" s="10">
        <f t="shared" si="170"/>
        <v>0.26794919308648629</v>
      </c>
      <c r="CI91" s="10">
        <f t="shared" si="171"/>
        <v>0.26794919308648629</v>
      </c>
      <c r="CJ91" s="10">
        <f t="shared" si="172"/>
        <v>0.26794919308648629</v>
      </c>
      <c r="CK91" s="10">
        <f t="shared" si="173"/>
        <v>0.26794919308648629</v>
      </c>
      <c r="CL91" s="10">
        <f t="shared" si="174"/>
        <v>0.26794919308648629</v>
      </c>
      <c r="CM91" s="10">
        <f t="shared" si="175"/>
        <v>0.26794919308648629</v>
      </c>
      <c r="CN91" s="10">
        <f t="shared" si="176"/>
        <v>0.26794919308648629</v>
      </c>
      <c r="CO91" s="10">
        <f t="shared" si="177"/>
        <v>0.26794919308648629</v>
      </c>
      <c r="CP91" s="10">
        <f t="shared" si="178"/>
        <v>0.26794919308648629</v>
      </c>
      <c r="CQ91" s="10">
        <f t="shared" si="179"/>
        <v>0.26794919308648629</v>
      </c>
      <c r="CR91" s="10">
        <f t="shared" si="180"/>
        <v>0.26794919308648629</v>
      </c>
      <c r="CS91" s="10">
        <f t="shared" si="181"/>
        <v>0.26794919308648629</v>
      </c>
      <c r="CT91" s="10">
        <f t="shared" si="182"/>
        <v>0.26794919308648629</v>
      </c>
      <c r="CU91" s="10">
        <f t="shared" si="183"/>
        <v>0.26794919308648629</v>
      </c>
      <c r="CV91" s="10">
        <f t="shared" si="184"/>
        <v>0.26794919308648629</v>
      </c>
      <c r="CW91" s="10">
        <f t="shared" si="185"/>
        <v>0.26794919308648629</v>
      </c>
      <c r="CX91" s="10">
        <f t="shared" si="186"/>
        <v>0.26794919308648629</v>
      </c>
      <c r="CY91" s="10">
        <f t="shared" si="187"/>
        <v>0.26794919308648629</v>
      </c>
      <c r="DB91" s="17"/>
      <c r="DC91" s="10">
        <f t="shared" si="188"/>
        <v>219.61524207405415</v>
      </c>
      <c r="DD91" s="10">
        <f t="shared" si="189"/>
        <v>205.18250324242183</v>
      </c>
      <c r="DE91" s="10">
        <f t="shared" si="190"/>
        <v>190.87182577782207</v>
      </c>
      <c r="DF91" s="10">
        <f t="shared" si="191"/>
        <v>176.8030597569915</v>
      </c>
      <c r="DG91" s="10">
        <f t="shared" si="192"/>
        <v>163.09170633282875</v>
      </c>
      <c r="DH91" s="10">
        <f t="shared" si="193"/>
        <v>149.84692332336417</v>
      </c>
      <c r="DI91" s="10">
        <f t="shared" si="194"/>
        <v>137.16973570961895</v>
      </c>
      <c r="DJ91" s="10">
        <f t="shared" si="195"/>
        <v>125.15150163967742</v>
      </c>
      <c r="DK91" s="10">
        <f t="shared" si="196"/>
        <v>113.87267104188953</v>
      </c>
      <c r="DL91" s="10">
        <f t="shared" si="197"/>
        <v>103.40185901089656</v>
      </c>
      <c r="DM91" s="10">
        <f t="shared" si="198"/>
        <v>93.795240781209799</v>
      </c>
      <c r="DN91" s="10">
        <f t="shared" si="199"/>
        <v>85.096260367914255</v>
      </c>
      <c r="DO91" s="10">
        <f t="shared" si="200"/>
        <v>77.335631762331289</v>
      </c>
      <c r="DP91" s="10">
        <f t="shared" si="201"/>
        <v>70.531600686564616</v>
      </c>
      <c r="DQ91" s="10">
        <f t="shared" si="202"/>
        <v>64.690426880062148</v>
      </c>
      <c r="DR91" s="10">
        <f t="shared" si="203"/>
        <v>59.807042007520479</v>
      </c>
      <c r="DS91" s="10">
        <f t="shared" si="204"/>
        <v>55.865836574461937</v>
      </c>
      <c r="DT91" s="10">
        <f t="shared" si="205"/>
        <v>52.841530503139985</v>
      </c>
      <c r="DU91" s="10">
        <f t="shared" si="206"/>
        <v>50.700085835843453</v>
      </c>
      <c r="DV91" s="10">
        <f t="shared" si="207"/>
        <v>49.399625816210374</v>
      </c>
      <c r="DW91" s="10">
        <f t="shared" si="208"/>
        <v>48.89133167784135</v>
      </c>
      <c r="DX91" s="10">
        <f t="shared" si="209"/>
        <v>49.120296141286985</v>
      </c>
      <c r="DY91" s="10">
        <f t="shared" si="210"/>
        <v>50.0263202200005</v>
      </c>
      <c r="DZ91" s="10">
        <f t="shared" si="211"/>
        <v>51.544646890864847</v>
      </c>
      <c r="EA91" s="10">
        <f t="shared" si="212"/>
        <v>53.606631059756346</v>
      </c>
      <c r="EB91" s="10">
        <f t="shared" si="213"/>
        <v>56.140349775149126</v>
      </c>
      <c r="EC91" s="10">
        <f t="shared" si="214"/>
        <v>59.071159713276863</v>
      </c>
      <c r="ED91" s="10">
        <f t="shared" si="215"/>
        <v>62.322210640546601</v>
      </c>
      <c r="EE91" s="10">
        <f t="shared" si="216"/>
        <v>65.814924054823393</v>
      </c>
      <c r="EF91" s="10">
        <f t="shared" si="217"/>
        <v>69.4694458196049</v>
      </c>
      <c r="EG91" s="10">
        <f t="shared" si="218"/>
        <v>73.20508069135137</v>
      </c>
    </row>
    <row r="92" spans="6:137" x14ac:dyDescent="0.3">
      <c r="F92" s="17"/>
      <c r="G92" s="3">
        <v>300</v>
      </c>
      <c r="H92" s="2">
        <f t="shared" si="277"/>
        <v>280.28451209215399</v>
      </c>
      <c r="I92" s="2">
        <f t="shared" si="278"/>
        <v>260.73576311264435</v>
      </c>
      <c r="J92" s="2">
        <f t="shared" si="279"/>
        <v>241.51747131108539</v>
      </c>
      <c r="K92" s="2">
        <f t="shared" si="252"/>
        <v>222.78741419664445</v>
      </c>
      <c r="L92" s="2">
        <f t="shared" si="253"/>
        <v>204.69470412190589</v>
      </c>
      <c r="M92" s="2">
        <f t="shared" si="254"/>
        <v>187.37734377748527</v>
      </c>
      <c r="N92" s="2">
        <f t="shared" si="255"/>
        <v>170.96013071462005</v>
      </c>
      <c r="O92" s="2">
        <f t="shared" si="256"/>
        <v>155.55296157926745</v>
      </c>
      <c r="P92" s="2">
        <f t="shared" si="257"/>
        <v>141.2495663338743</v>
      </c>
      <c r="Q92" s="2">
        <f t="shared" si="258"/>
        <v>128.1266817759153</v>
      </c>
      <c r="R92" s="2">
        <f t="shared" si="259"/>
        <v>116.24365353369214</v>
      </c>
      <c r="S92" s="2">
        <f t="shared" si="260"/>
        <v>105.64243769963892</v>
      </c>
      <c r="T92" s="2">
        <f t="shared" si="261"/>
        <v>96.347958393682077</v>
      </c>
      <c r="U92" s="2">
        <f t="shared" si="262"/>
        <v>88.368766578936146</v>
      </c>
      <c r="V92" s="2">
        <f t="shared" si="263"/>
        <v>81.697938780615573</v>
      </c>
      <c r="W92" s="2">
        <f t="shared" si="264"/>
        <v>76.314152032704555</v>
      </c>
      <c r="X92" s="2">
        <f t="shared" si="265"/>
        <v>72.182873106760752</v>
      </c>
      <c r="Y92" s="2">
        <f t="shared" si="266"/>
        <v>69.257605287816148</v>
      </c>
      <c r="Z92" s="2">
        <f t="shared" si="267"/>
        <v>67.481143862800991</v>
      </c>
      <c r="AA92" s="2">
        <f t="shared" si="268"/>
        <v>66.786801156572579</v>
      </c>
      <c r="AB92" s="2">
        <f t="shared" si="269"/>
        <v>67.099572430483192</v>
      </c>
      <c r="AC92" s="2">
        <f t="shared" si="270"/>
        <v>68.33722433955424</v>
      </c>
      <c r="AD92" s="2">
        <f t="shared" si="271"/>
        <v>70.411297145055201</v>
      </c>
      <c r="AE92" s="2">
        <f t="shared" si="272"/>
        <v>73.228019904483986</v>
      </c>
      <c r="AF92" s="2">
        <f t="shared" si="273"/>
        <v>76.689144038853129</v>
      </c>
      <c r="AG92" s="2">
        <f t="shared" si="274"/>
        <v>80.692704871583686</v>
      </c>
      <c r="AH92" s="2">
        <f t="shared" si="275"/>
        <v>85.133723031206898</v>
      </c>
      <c r="AI92" s="2">
        <f t="shared" si="276"/>
        <v>89.904858287519005</v>
      </c>
      <c r="AJ92" s="2">
        <f t="shared" si="221"/>
        <v>94.897027861362901</v>
      </c>
      <c r="AK92" s="2">
        <v>100</v>
      </c>
      <c r="AM92" s="17"/>
      <c r="AN92" s="10">
        <f t="shared" si="220"/>
        <v>-2483999999.9999995</v>
      </c>
      <c r="AO92" s="10">
        <f t="shared" si="237"/>
        <v>-2320755760.1230345</v>
      </c>
      <c r="AP92" s="10">
        <f t="shared" si="238"/>
        <v>-2158892118.5726948</v>
      </c>
      <c r="AQ92" s="10">
        <f t="shared" si="239"/>
        <v>-1999764662.4557867</v>
      </c>
      <c r="AR92" s="10">
        <f t="shared" si="240"/>
        <v>-1844679789.5482154</v>
      </c>
      <c r="AS92" s="10">
        <f t="shared" si="241"/>
        <v>-1694872150.1293805</v>
      </c>
      <c r="AT92" s="10">
        <f t="shared" si="242"/>
        <v>-1551484406.4775777</v>
      </c>
      <c r="AU92" s="10">
        <f t="shared" si="243"/>
        <v>-1415549882.3170536</v>
      </c>
      <c r="AV92" s="10">
        <f t="shared" si="244"/>
        <v>-1287978521.8763342</v>
      </c>
      <c r="AW92" s="10">
        <f t="shared" si="245"/>
        <v>-1169546409.2444789</v>
      </c>
      <c r="AX92" s="10">
        <f t="shared" si="246"/>
        <v>-1060888925.1045785</v>
      </c>
      <c r="AY92" s="10">
        <f t="shared" si="247"/>
        <v>-962497451.25897062</v>
      </c>
      <c r="AZ92" s="10">
        <f t="shared" si="248"/>
        <v>-874719384.15300989</v>
      </c>
      <c r="BA92" s="10">
        <f t="shared" si="249"/>
        <v>-797761095.49968731</v>
      </c>
      <c r="BB92" s="10">
        <f t="shared" si="250"/>
        <v>-731693387.27359116</v>
      </c>
      <c r="BC92" s="10">
        <f t="shared" si="251"/>
        <v>-676458933.10349679</v>
      </c>
      <c r="BD92" s="10">
        <f t="shared" si="222"/>
        <v>-631881178.83079362</v>
      </c>
      <c r="BE92" s="10">
        <f t="shared" si="223"/>
        <v>-597674189.3239789</v>
      </c>
      <c r="BF92" s="10">
        <f t="shared" si="224"/>
        <v>-573452971.78311765</v>
      </c>
      <c r="BG92" s="10">
        <f t="shared" si="225"/>
        <v>-558743871.18399215</v>
      </c>
      <c r="BH92" s="10">
        <f t="shared" si="226"/>
        <v>-552994713.57642078</v>
      </c>
      <c r="BI92" s="10">
        <f t="shared" si="227"/>
        <v>-555584459.72440076</v>
      </c>
      <c r="BJ92" s="10">
        <f t="shared" si="228"/>
        <v>-565832217.53150904</v>
      </c>
      <c r="BK92" s="10">
        <f t="shared" si="229"/>
        <v>-583005540.36105692</v>
      </c>
      <c r="BL92" s="10">
        <f t="shared" si="230"/>
        <v>-606328004.80912721</v>
      </c>
      <c r="BM92" s="10">
        <f t="shared" si="231"/>
        <v>-634986112.64170384</v>
      </c>
      <c r="BN92" s="10">
        <f t="shared" si="232"/>
        <v>-668135596.33671284</v>
      </c>
      <c r="BO92" s="10">
        <f t="shared" si="233"/>
        <v>-704907226.69839299</v>
      </c>
      <c r="BP92" s="10">
        <f t="shared" si="234"/>
        <v>-744412226.62065721</v>
      </c>
      <c r="BQ92" s="10">
        <f t="shared" si="235"/>
        <v>-785747390.69208455</v>
      </c>
      <c r="BR92" s="10">
        <f t="shared" si="236"/>
        <v>-827999999.99999988</v>
      </c>
      <c r="BT92" s="17"/>
      <c r="BU92" s="10">
        <f t="shared" si="157"/>
        <v>0.26794920155916008</v>
      </c>
      <c r="BV92" s="10">
        <f t="shared" si="158"/>
        <v>0.26794920155916008</v>
      </c>
      <c r="BW92" s="10">
        <f t="shared" si="159"/>
        <v>0.26794920155916008</v>
      </c>
      <c r="BX92" s="10">
        <f t="shared" si="160"/>
        <v>0.26794920155916008</v>
      </c>
      <c r="BY92" s="10">
        <f t="shared" si="161"/>
        <v>0.26794920155916008</v>
      </c>
      <c r="BZ92" s="10">
        <f t="shared" si="162"/>
        <v>0.26794920155916008</v>
      </c>
      <c r="CA92" s="10">
        <f t="shared" si="163"/>
        <v>0.26794920155916008</v>
      </c>
      <c r="CB92" s="10">
        <f t="shared" si="164"/>
        <v>0.26794920155916008</v>
      </c>
      <c r="CC92" s="10">
        <f t="shared" si="165"/>
        <v>0.26794920155916008</v>
      </c>
      <c r="CD92" s="10">
        <f t="shared" si="166"/>
        <v>0.26794920155916008</v>
      </c>
      <c r="CE92" s="10">
        <f t="shared" si="167"/>
        <v>0.26794920155916008</v>
      </c>
      <c r="CF92" s="10">
        <f t="shared" si="168"/>
        <v>0.26794920155916008</v>
      </c>
      <c r="CG92" s="10">
        <f t="shared" si="169"/>
        <v>0.26794920155916008</v>
      </c>
      <c r="CH92" s="10">
        <f t="shared" si="170"/>
        <v>0.26794920155916008</v>
      </c>
      <c r="CI92" s="10">
        <f t="shared" si="171"/>
        <v>0.26794920155916008</v>
      </c>
      <c r="CJ92" s="10">
        <f t="shared" si="172"/>
        <v>0.26794920155916008</v>
      </c>
      <c r="CK92" s="10">
        <f t="shared" si="173"/>
        <v>0.26794920155916008</v>
      </c>
      <c r="CL92" s="10">
        <f t="shared" si="174"/>
        <v>0.26794920155916008</v>
      </c>
      <c r="CM92" s="10">
        <f t="shared" si="175"/>
        <v>0.26794920155916008</v>
      </c>
      <c r="CN92" s="10">
        <f t="shared" si="176"/>
        <v>0.26794920155916008</v>
      </c>
      <c r="CO92" s="10">
        <f t="shared" si="177"/>
        <v>0.26794920155916008</v>
      </c>
      <c r="CP92" s="10">
        <f t="shared" si="178"/>
        <v>0.26794920155916008</v>
      </c>
      <c r="CQ92" s="10">
        <f t="shared" si="179"/>
        <v>0.26794920155916008</v>
      </c>
      <c r="CR92" s="10">
        <f t="shared" si="180"/>
        <v>0.26794920155916008</v>
      </c>
      <c r="CS92" s="10">
        <f t="shared" si="181"/>
        <v>0.26794920155916008</v>
      </c>
      <c r="CT92" s="10">
        <f t="shared" si="182"/>
        <v>0.26794920155916008</v>
      </c>
      <c r="CU92" s="10">
        <f t="shared" si="183"/>
        <v>0.26794920155916008</v>
      </c>
      <c r="CV92" s="10">
        <f t="shared" si="184"/>
        <v>0.26794920155916008</v>
      </c>
      <c r="CW92" s="10">
        <f t="shared" si="185"/>
        <v>0.26794920155916008</v>
      </c>
      <c r="CX92" s="10">
        <f t="shared" si="186"/>
        <v>0.26794920155916008</v>
      </c>
      <c r="CY92" s="10">
        <f t="shared" si="187"/>
        <v>0.26794920155916008</v>
      </c>
      <c r="DB92" s="17"/>
      <c r="DC92" s="10">
        <f t="shared" si="188"/>
        <v>219.61523953225199</v>
      </c>
      <c r="DD92" s="10">
        <f t="shared" si="189"/>
        <v>205.18250086766258</v>
      </c>
      <c r="DE92" s="10">
        <f t="shared" si="190"/>
        <v>190.871823568693</v>
      </c>
      <c r="DF92" s="10">
        <f t="shared" si="191"/>
        <v>176.80305771069271</v>
      </c>
      <c r="DG92" s="10">
        <f t="shared" si="192"/>
        <v>163.09170444522368</v>
      </c>
      <c r="DH92" s="10">
        <f t="shared" si="193"/>
        <v>149.8469215890527</v>
      </c>
      <c r="DI92" s="10">
        <f t="shared" si="194"/>
        <v>137.16973412203183</v>
      </c>
      <c r="DJ92" s="10">
        <f t="shared" si="195"/>
        <v>125.15150019118796</v>
      </c>
      <c r="DK92" s="10">
        <f t="shared" si="196"/>
        <v>113.87266972394004</v>
      </c>
      <c r="DL92" s="10">
        <f t="shared" si="197"/>
        <v>103.40185781413506</v>
      </c>
      <c r="DM92" s="10">
        <f t="shared" si="198"/>
        <v>93.795239695634208</v>
      </c>
      <c r="DN92" s="10">
        <f t="shared" si="199"/>
        <v>85.096259383019685</v>
      </c>
      <c r="DO92" s="10">
        <f t="shared" si="200"/>
        <v>77.33563086725735</v>
      </c>
      <c r="DP92" s="10">
        <f t="shared" si="201"/>
        <v>70.531599870239788</v>
      </c>
      <c r="DQ92" s="10">
        <f t="shared" si="202"/>
        <v>64.69042613134242</v>
      </c>
      <c r="DR92" s="10">
        <f t="shared" si="203"/>
        <v>59.80704131532049</v>
      </c>
      <c r="DS92" s="10">
        <f t="shared" si="204"/>
        <v>55.865835927877022</v>
      </c>
      <c r="DT92" s="10">
        <f t="shared" si="205"/>
        <v>52.841529891558046</v>
      </c>
      <c r="DU92" s="10">
        <f t="shared" si="206"/>
        <v>50.700085249046353</v>
      </c>
      <c r="DV92" s="10">
        <f t="shared" si="207"/>
        <v>49.399625244464659</v>
      </c>
      <c r="DW92" s="10">
        <f t="shared" si="208"/>
        <v>48.891331111978566</v>
      </c>
      <c r="DX92" s="10">
        <f t="shared" si="209"/>
        <v>49.120295572774189</v>
      </c>
      <c r="DY92" s="10">
        <f t="shared" si="210"/>
        <v>50.026319641001486</v>
      </c>
      <c r="DZ92" s="10">
        <f t="shared" si="211"/>
        <v>51.544646294292896</v>
      </c>
      <c r="EA92" s="10">
        <f t="shared" si="212"/>
        <v>53.606630439319218</v>
      </c>
      <c r="EB92" s="10">
        <f t="shared" si="213"/>
        <v>56.140349125387011</v>
      </c>
      <c r="EC92" s="10">
        <f t="shared" si="214"/>
        <v>59.071159029593886</v>
      </c>
      <c r="ED92" s="10">
        <f t="shared" si="215"/>
        <v>62.322209919236336</v>
      </c>
      <c r="EE92" s="10">
        <f t="shared" si="216"/>
        <v>65.814923293088853</v>
      </c>
      <c r="EF92" s="10">
        <f t="shared" si="217"/>
        <v>69.469445015573342</v>
      </c>
      <c r="EG92" s="10">
        <f t="shared" si="218"/>
        <v>73.205079844083997</v>
      </c>
    </row>
    <row r="93" spans="6:137" x14ac:dyDescent="0.3">
      <c r="F93" s="17"/>
      <c r="G93" s="3">
        <v>300</v>
      </c>
      <c r="H93" s="2">
        <f t="shared" si="277"/>
        <v>280.28451209215393</v>
      </c>
      <c r="I93" s="2">
        <f t="shared" si="278"/>
        <v>260.73576311264435</v>
      </c>
      <c r="J93" s="2">
        <f t="shared" si="279"/>
        <v>241.51747131108536</v>
      </c>
      <c r="K93" s="2">
        <f t="shared" si="252"/>
        <v>222.78741419664442</v>
      </c>
      <c r="L93" s="2">
        <f t="shared" si="253"/>
        <v>204.69470412190589</v>
      </c>
      <c r="M93" s="2">
        <f t="shared" si="254"/>
        <v>187.37734377748524</v>
      </c>
      <c r="N93" s="2">
        <f t="shared" si="255"/>
        <v>170.96013071462005</v>
      </c>
      <c r="O93" s="2">
        <f t="shared" si="256"/>
        <v>155.55296157926745</v>
      </c>
      <c r="P93" s="2">
        <f t="shared" si="257"/>
        <v>141.24956633387427</v>
      </c>
      <c r="Q93" s="2">
        <f t="shared" si="258"/>
        <v>128.1266817759153</v>
      </c>
      <c r="R93" s="2">
        <f t="shared" si="259"/>
        <v>116.24365353369211</v>
      </c>
      <c r="S93" s="2">
        <f t="shared" si="260"/>
        <v>105.6424376996389</v>
      </c>
      <c r="T93" s="2">
        <f t="shared" si="261"/>
        <v>96.347958393682063</v>
      </c>
      <c r="U93" s="2">
        <f t="shared" si="262"/>
        <v>88.368766578936146</v>
      </c>
      <c r="V93" s="2">
        <f t="shared" si="263"/>
        <v>81.697938780615559</v>
      </c>
      <c r="W93" s="2">
        <f t="shared" si="264"/>
        <v>76.314152032704555</v>
      </c>
      <c r="X93" s="2">
        <f t="shared" si="265"/>
        <v>72.182873106760752</v>
      </c>
      <c r="Y93" s="2">
        <f t="shared" si="266"/>
        <v>69.257605287816133</v>
      </c>
      <c r="Z93" s="2">
        <f t="shared" si="267"/>
        <v>67.481143862800991</v>
      </c>
      <c r="AA93" s="2">
        <f t="shared" si="268"/>
        <v>66.786801156572565</v>
      </c>
      <c r="AB93" s="2">
        <f t="shared" si="269"/>
        <v>67.099572430483192</v>
      </c>
      <c r="AC93" s="2">
        <f t="shared" si="270"/>
        <v>68.33722433955424</v>
      </c>
      <c r="AD93" s="2">
        <f t="shared" si="271"/>
        <v>70.411297145055201</v>
      </c>
      <c r="AE93" s="2">
        <f t="shared" si="272"/>
        <v>73.228019904483972</v>
      </c>
      <c r="AF93" s="2">
        <f t="shared" si="273"/>
        <v>76.689144038853115</v>
      </c>
      <c r="AG93" s="2">
        <f t="shared" si="274"/>
        <v>80.692704871583658</v>
      </c>
      <c r="AH93" s="2">
        <f t="shared" si="275"/>
        <v>85.13372303120687</v>
      </c>
      <c r="AI93" s="2">
        <f t="shared" si="276"/>
        <v>89.904858287518991</v>
      </c>
      <c r="AJ93" s="2">
        <f t="shared" si="221"/>
        <v>94.897027861362901</v>
      </c>
      <c r="AK93" s="2">
        <v>100</v>
      </c>
      <c r="AM93" s="17"/>
      <c r="AN93" s="10">
        <f t="shared" si="220"/>
        <v>-2483999999.9999995</v>
      </c>
      <c r="AO93" s="10">
        <f t="shared" si="237"/>
        <v>-2320755760.123034</v>
      </c>
      <c r="AP93" s="10">
        <f t="shared" si="238"/>
        <v>-2158892118.5726948</v>
      </c>
      <c r="AQ93" s="10">
        <f t="shared" si="239"/>
        <v>-1999764662.4557867</v>
      </c>
      <c r="AR93" s="10">
        <f t="shared" si="240"/>
        <v>-1844679789.5482154</v>
      </c>
      <c r="AS93" s="10">
        <f t="shared" si="241"/>
        <v>-1694872150.1293805</v>
      </c>
      <c r="AT93" s="10">
        <f t="shared" si="242"/>
        <v>-1551484406.4775777</v>
      </c>
      <c r="AU93" s="10">
        <f t="shared" si="243"/>
        <v>-1415549882.3170536</v>
      </c>
      <c r="AV93" s="10">
        <f t="shared" si="244"/>
        <v>-1287978521.876334</v>
      </c>
      <c r="AW93" s="10">
        <f t="shared" si="245"/>
        <v>-1169546409.2444785</v>
      </c>
      <c r="AX93" s="10">
        <f t="shared" si="246"/>
        <v>-1060888925.1045783</v>
      </c>
      <c r="AY93" s="10">
        <f t="shared" si="247"/>
        <v>-962497451.25897038</v>
      </c>
      <c r="AZ93" s="10">
        <f t="shared" si="248"/>
        <v>-874719384.15300989</v>
      </c>
      <c r="BA93" s="10">
        <f t="shared" si="249"/>
        <v>-797761095.49968731</v>
      </c>
      <c r="BB93" s="10">
        <f t="shared" si="250"/>
        <v>-731693387.27359116</v>
      </c>
      <c r="BC93" s="10">
        <f t="shared" si="251"/>
        <v>-676458933.10349679</v>
      </c>
      <c r="BD93" s="10">
        <f t="shared" si="222"/>
        <v>-631881178.83079362</v>
      </c>
      <c r="BE93" s="10">
        <f t="shared" si="223"/>
        <v>-597674189.3239789</v>
      </c>
      <c r="BF93" s="10">
        <f t="shared" si="224"/>
        <v>-573452971.78311741</v>
      </c>
      <c r="BG93" s="10">
        <f t="shared" si="225"/>
        <v>-558743871.18399215</v>
      </c>
      <c r="BH93" s="10">
        <f t="shared" si="226"/>
        <v>-552994713.57642078</v>
      </c>
      <c r="BI93" s="10">
        <f t="shared" si="227"/>
        <v>-555584459.72440076</v>
      </c>
      <c r="BJ93" s="10">
        <f t="shared" si="228"/>
        <v>-565832217.53150904</v>
      </c>
      <c r="BK93" s="10">
        <f t="shared" si="229"/>
        <v>-583005540.36105692</v>
      </c>
      <c r="BL93" s="10">
        <f t="shared" si="230"/>
        <v>-606328004.80912721</v>
      </c>
      <c r="BM93" s="10">
        <f t="shared" si="231"/>
        <v>-634986112.64170372</v>
      </c>
      <c r="BN93" s="10">
        <f t="shared" si="232"/>
        <v>-668135596.3367126</v>
      </c>
      <c r="BO93" s="10">
        <f t="shared" si="233"/>
        <v>-704907226.69839263</v>
      </c>
      <c r="BP93" s="10">
        <f t="shared" si="234"/>
        <v>-744412226.62065697</v>
      </c>
      <c r="BQ93" s="10">
        <f t="shared" si="235"/>
        <v>-785747390.69208455</v>
      </c>
      <c r="BR93" s="10">
        <f t="shared" si="236"/>
        <v>-827999999.99999988</v>
      </c>
      <c r="BT93" s="17"/>
      <c r="BU93" s="10">
        <f t="shared" si="157"/>
        <v>0.26794931956827778</v>
      </c>
      <c r="BV93" s="10">
        <f t="shared" si="158"/>
        <v>0.26794931956827778</v>
      </c>
      <c r="BW93" s="10">
        <f t="shared" si="159"/>
        <v>0.26794931956827778</v>
      </c>
      <c r="BX93" s="10">
        <f t="shared" si="160"/>
        <v>0.26794931956827778</v>
      </c>
      <c r="BY93" s="10">
        <f t="shared" si="161"/>
        <v>0.26794931956827778</v>
      </c>
      <c r="BZ93" s="10">
        <f t="shared" si="162"/>
        <v>0.26794931956827778</v>
      </c>
      <c r="CA93" s="10">
        <f t="shared" si="163"/>
        <v>0.26794931956827778</v>
      </c>
      <c r="CB93" s="10">
        <f t="shared" si="164"/>
        <v>0.26794931956827778</v>
      </c>
      <c r="CC93" s="10">
        <f t="shared" si="165"/>
        <v>0.26794931956827778</v>
      </c>
      <c r="CD93" s="10">
        <f t="shared" si="166"/>
        <v>0.26794931956827778</v>
      </c>
      <c r="CE93" s="10">
        <f t="shared" si="167"/>
        <v>0.26794931956827778</v>
      </c>
      <c r="CF93" s="10">
        <f t="shared" si="168"/>
        <v>0.26794931956827778</v>
      </c>
      <c r="CG93" s="10">
        <f t="shared" si="169"/>
        <v>0.26794931956827778</v>
      </c>
      <c r="CH93" s="10">
        <f t="shared" si="170"/>
        <v>0.26794931956827778</v>
      </c>
      <c r="CI93" s="10">
        <f t="shared" si="171"/>
        <v>0.26794931956827778</v>
      </c>
      <c r="CJ93" s="10">
        <f t="shared" si="172"/>
        <v>0.26794931956827778</v>
      </c>
      <c r="CK93" s="10">
        <f t="shared" si="173"/>
        <v>0.26794931956827778</v>
      </c>
      <c r="CL93" s="10">
        <f t="shared" si="174"/>
        <v>0.26794931956827778</v>
      </c>
      <c r="CM93" s="10">
        <f t="shared" si="175"/>
        <v>0.26794931956827778</v>
      </c>
      <c r="CN93" s="10">
        <f t="shared" si="176"/>
        <v>0.26794931956827778</v>
      </c>
      <c r="CO93" s="10">
        <f t="shared" si="177"/>
        <v>0.26794931956827778</v>
      </c>
      <c r="CP93" s="10">
        <f t="shared" si="178"/>
        <v>0.26794931956827778</v>
      </c>
      <c r="CQ93" s="10">
        <f t="shared" si="179"/>
        <v>0.26794931956827778</v>
      </c>
      <c r="CR93" s="10">
        <f t="shared" si="180"/>
        <v>0.26794931956827778</v>
      </c>
      <c r="CS93" s="10">
        <f t="shared" si="181"/>
        <v>0.26794931956827778</v>
      </c>
      <c r="CT93" s="10">
        <f t="shared" si="182"/>
        <v>0.26794931956827778</v>
      </c>
      <c r="CU93" s="10">
        <f t="shared" si="183"/>
        <v>0.26794931956827778</v>
      </c>
      <c r="CV93" s="10">
        <f t="shared" si="184"/>
        <v>0.26794931956827778</v>
      </c>
      <c r="CW93" s="10">
        <f t="shared" si="185"/>
        <v>0.26794931956827778</v>
      </c>
      <c r="CX93" s="10">
        <f t="shared" si="186"/>
        <v>0.26794931956827778</v>
      </c>
      <c r="CY93" s="10">
        <f t="shared" si="187"/>
        <v>0.26794931956827778</v>
      </c>
      <c r="DB93" s="17"/>
      <c r="DC93" s="10">
        <f t="shared" si="188"/>
        <v>219.61520412951668</v>
      </c>
      <c r="DD93" s="10">
        <f t="shared" si="189"/>
        <v>205.18246779153455</v>
      </c>
      <c r="DE93" s="10">
        <f t="shared" si="190"/>
        <v>190.87179279949564</v>
      </c>
      <c r="DF93" s="10">
        <f t="shared" si="191"/>
        <v>176.80302920942898</v>
      </c>
      <c r="DG93" s="10">
        <f t="shared" si="192"/>
        <v>163.09167815427747</v>
      </c>
      <c r="DH93" s="10">
        <f t="shared" si="193"/>
        <v>149.84689743321127</v>
      </c>
      <c r="DI93" s="10">
        <f t="shared" si="194"/>
        <v>137.1697120097968</v>
      </c>
      <c r="DJ93" s="10">
        <f t="shared" si="195"/>
        <v>125.15148001633376</v>
      </c>
      <c r="DK93" s="10">
        <f t="shared" si="196"/>
        <v>113.87265136727227</v>
      </c>
      <c r="DL93" s="10">
        <f t="shared" si="197"/>
        <v>103.40184114539832</v>
      </c>
      <c r="DM93" s="10">
        <f t="shared" si="198"/>
        <v>93.795224575517523</v>
      </c>
      <c r="DN93" s="10">
        <f t="shared" si="199"/>
        <v>85.09624566520867</v>
      </c>
      <c r="DO93" s="10">
        <f t="shared" si="200"/>
        <v>77.335618400486482</v>
      </c>
      <c r="DP93" s="10">
        <f t="shared" si="201"/>
        <v>70.53158850030222</v>
      </c>
      <c r="DQ93" s="10">
        <f t="shared" si="202"/>
        <v>64.690415703022239</v>
      </c>
      <c r="DR93" s="10">
        <f t="shared" si="203"/>
        <v>59.807031674218806</v>
      </c>
      <c r="DS93" s="10">
        <f t="shared" si="204"/>
        <v>55.865826922111268</v>
      </c>
      <c r="DT93" s="10">
        <f t="shared" si="205"/>
        <v>52.841521373320873</v>
      </c>
      <c r="DU93" s="10">
        <f t="shared" si="206"/>
        <v>50.700077076017436</v>
      </c>
      <c r="DV93" s="10">
        <f t="shared" si="207"/>
        <v>49.399617281074399</v>
      </c>
      <c r="DW93" s="10">
        <f t="shared" si="208"/>
        <v>48.891323230527078</v>
      </c>
      <c r="DX93" s="10">
        <f t="shared" si="209"/>
        <v>49.120287654412849</v>
      </c>
      <c r="DY93" s="10">
        <f t="shared" si="210"/>
        <v>50.026311576585933</v>
      </c>
      <c r="DZ93" s="10">
        <f t="shared" si="211"/>
        <v>51.544637985117838</v>
      </c>
      <c r="EA93" s="10">
        <f t="shared" si="212"/>
        <v>53.606621797745191</v>
      </c>
      <c r="EB93" s="10">
        <f t="shared" si="213"/>
        <v>56.140340075368776</v>
      </c>
      <c r="EC93" s="10">
        <f t="shared" si="214"/>
        <v>59.07114950711896</v>
      </c>
      <c r="ED93" s="10">
        <f t="shared" si="215"/>
        <v>62.322199872680763</v>
      </c>
      <c r="EE93" s="10">
        <f t="shared" si="216"/>
        <v>65.814912683495834</v>
      </c>
      <c r="EF93" s="10">
        <f t="shared" si="217"/>
        <v>69.46943381685881</v>
      </c>
      <c r="EG93" s="10">
        <f t="shared" si="218"/>
        <v>73.205068043172218</v>
      </c>
    </row>
    <row r="94" spans="6:137" x14ac:dyDescent="0.3">
      <c r="F94" s="17"/>
      <c r="G94" s="3">
        <v>300</v>
      </c>
      <c r="H94" s="2">
        <f t="shared" si="277"/>
        <v>280.28451209215393</v>
      </c>
      <c r="I94" s="2">
        <f t="shared" si="278"/>
        <v>260.73576311264435</v>
      </c>
      <c r="J94" s="2">
        <f t="shared" si="279"/>
        <v>241.51747131108533</v>
      </c>
      <c r="K94" s="2">
        <f t="shared" si="252"/>
        <v>222.78741419664442</v>
      </c>
      <c r="L94" s="2">
        <f t="shared" si="253"/>
        <v>204.69470412190589</v>
      </c>
      <c r="M94" s="2">
        <f t="shared" si="254"/>
        <v>187.37734377748518</v>
      </c>
      <c r="N94" s="2">
        <f t="shared" si="255"/>
        <v>170.96013071462005</v>
      </c>
      <c r="O94" s="2">
        <f t="shared" si="256"/>
        <v>155.55296157926742</v>
      </c>
      <c r="P94" s="2">
        <f t="shared" si="257"/>
        <v>141.24956633387424</v>
      </c>
      <c r="Q94" s="2">
        <f t="shared" si="258"/>
        <v>128.12668177591527</v>
      </c>
      <c r="R94" s="2">
        <f t="shared" si="259"/>
        <v>116.24365353369211</v>
      </c>
      <c r="S94" s="2">
        <f t="shared" si="260"/>
        <v>105.64243769963889</v>
      </c>
      <c r="T94" s="2">
        <f t="shared" si="261"/>
        <v>96.347958393682063</v>
      </c>
      <c r="U94" s="2">
        <f t="shared" si="262"/>
        <v>88.368766578936132</v>
      </c>
      <c r="V94" s="2">
        <f t="shared" si="263"/>
        <v>81.697938780615544</v>
      </c>
      <c r="W94" s="2">
        <f t="shared" si="264"/>
        <v>76.314152032704555</v>
      </c>
      <c r="X94" s="2">
        <f t="shared" si="265"/>
        <v>72.182873106760752</v>
      </c>
      <c r="Y94" s="2">
        <f t="shared" si="266"/>
        <v>69.257605287816133</v>
      </c>
      <c r="Z94" s="2">
        <f t="shared" si="267"/>
        <v>67.481143862800977</v>
      </c>
      <c r="AA94" s="2">
        <f t="shared" si="268"/>
        <v>66.786801156572565</v>
      </c>
      <c r="AB94" s="2">
        <f t="shared" si="269"/>
        <v>67.099572430483192</v>
      </c>
      <c r="AC94" s="2">
        <f t="shared" si="270"/>
        <v>68.33722433955424</v>
      </c>
      <c r="AD94" s="2">
        <f t="shared" si="271"/>
        <v>70.411297145055201</v>
      </c>
      <c r="AE94" s="2">
        <f t="shared" si="272"/>
        <v>73.228019904483972</v>
      </c>
      <c r="AF94" s="2">
        <f t="shared" si="273"/>
        <v>76.689144038853129</v>
      </c>
      <c r="AG94" s="2">
        <f t="shared" si="274"/>
        <v>80.692704871583658</v>
      </c>
      <c r="AH94" s="2">
        <f t="shared" si="275"/>
        <v>85.13372303120687</v>
      </c>
      <c r="AI94" s="2">
        <f t="shared" si="276"/>
        <v>89.904858287518991</v>
      </c>
      <c r="AJ94" s="2">
        <f t="shared" si="221"/>
        <v>94.897027861362886</v>
      </c>
      <c r="AK94" s="2">
        <v>100</v>
      </c>
      <c r="AM94" s="17"/>
      <c r="AN94" s="10">
        <f t="shared" si="220"/>
        <v>-2483999999.9999995</v>
      </c>
      <c r="AO94" s="10">
        <f t="shared" si="237"/>
        <v>-2320755760.123034</v>
      </c>
      <c r="AP94" s="10">
        <f t="shared" si="238"/>
        <v>-2158892118.5726943</v>
      </c>
      <c r="AQ94" s="10">
        <f t="shared" si="239"/>
        <v>-1999764662.4557862</v>
      </c>
      <c r="AR94" s="10">
        <f t="shared" si="240"/>
        <v>-1844679789.5482152</v>
      </c>
      <c r="AS94" s="10">
        <f t="shared" si="241"/>
        <v>-1694872150.1293802</v>
      </c>
      <c r="AT94" s="10">
        <f t="shared" si="242"/>
        <v>-1551484406.477577</v>
      </c>
      <c r="AU94" s="10">
        <f t="shared" si="243"/>
        <v>-1415549882.3170536</v>
      </c>
      <c r="AV94" s="10">
        <f t="shared" si="244"/>
        <v>-1287978521.876334</v>
      </c>
      <c r="AW94" s="10">
        <f t="shared" si="245"/>
        <v>-1169546409.2444785</v>
      </c>
      <c r="AX94" s="10">
        <f t="shared" si="246"/>
        <v>-1060888925.1045783</v>
      </c>
      <c r="AY94" s="10">
        <f t="shared" si="247"/>
        <v>-962497451.25897038</v>
      </c>
      <c r="AZ94" s="10">
        <f t="shared" si="248"/>
        <v>-874719384.15300989</v>
      </c>
      <c r="BA94" s="10">
        <f t="shared" si="249"/>
        <v>-797761095.49968708</v>
      </c>
      <c r="BB94" s="10">
        <f t="shared" si="250"/>
        <v>-731693387.27359104</v>
      </c>
      <c r="BC94" s="10">
        <f t="shared" si="251"/>
        <v>-676458933.10349655</v>
      </c>
      <c r="BD94" s="10">
        <f t="shared" si="222"/>
        <v>-631881178.83079362</v>
      </c>
      <c r="BE94" s="10">
        <f t="shared" si="223"/>
        <v>-597674189.3239789</v>
      </c>
      <c r="BF94" s="10">
        <f t="shared" si="224"/>
        <v>-573452971.78311741</v>
      </c>
      <c r="BG94" s="10">
        <f t="shared" si="225"/>
        <v>-558743871.18399191</v>
      </c>
      <c r="BH94" s="10">
        <f t="shared" si="226"/>
        <v>-552994713.57642078</v>
      </c>
      <c r="BI94" s="10">
        <f t="shared" si="227"/>
        <v>-555584459.72440076</v>
      </c>
      <c r="BJ94" s="10">
        <f t="shared" si="228"/>
        <v>-565832217.53150904</v>
      </c>
      <c r="BK94" s="10">
        <f t="shared" si="229"/>
        <v>-583005540.36105692</v>
      </c>
      <c r="BL94" s="10">
        <f t="shared" si="230"/>
        <v>-606328004.80912721</v>
      </c>
      <c r="BM94" s="10">
        <f t="shared" si="231"/>
        <v>-634986112.64170372</v>
      </c>
      <c r="BN94" s="10">
        <f t="shared" si="232"/>
        <v>-668135596.3367126</v>
      </c>
      <c r="BO94" s="10">
        <f t="shared" si="233"/>
        <v>-704907226.69839263</v>
      </c>
      <c r="BP94" s="10">
        <f t="shared" si="234"/>
        <v>-744412226.62065697</v>
      </c>
      <c r="BQ94" s="10">
        <f t="shared" si="235"/>
        <v>-785747390.69208455</v>
      </c>
      <c r="BR94" s="10">
        <f t="shared" si="236"/>
        <v>-827999999.99999988</v>
      </c>
      <c r="BT94" s="17"/>
      <c r="BU94" s="10">
        <f t="shared" si="157"/>
        <v>0.26795096322241679</v>
      </c>
      <c r="BV94" s="10">
        <f t="shared" si="158"/>
        <v>0.26795096322241679</v>
      </c>
      <c r="BW94" s="10">
        <f t="shared" si="159"/>
        <v>0.26795096322241679</v>
      </c>
      <c r="BX94" s="10">
        <f t="shared" si="160"/>
        <v>0.26795096322241679</v>
      </c>
      <c r="BY94" s="10">
        <f t="shared" si="161"/>
        <v>0.26795096322241679</v>
      </c>
      <c r="BZ94" s="10">
        <f t="shared" si="162"/>
        <v>0.26795096322241679</v>
      </c>
      <c r="CA94" s="10">
        <f t="shared" si="163"/>
        <v>0.26795096322241679</v>
      </c>
      <c r="CB94" s="10">
        <f t="shared" si="164"/>
        <v>0.26795096322241679</v>
      </c>
      <c r="CC94" s="10">
        <f t="shared" si="165"/>
        <v>0.26795096322241679</v>
      </c>
      <c r="CD94" s="10">
        <f t="shared" si="166"/>
        <v>0.26795096322241679</v>
      </c>
      <c r="CE94" s="10">
        <f t="shared" si="167"/>
        <v>0.26795096322241679</v>
      </c>
      <c r="CF94" s="10">
        <f t="shared" si="168"/>
        <v>0.26795096322241679</v>
      </c>
      <c r="CG94" s="10">
        <f t="shared" si="169"/>
        <v>0.26795096322241679</v>
      </c>
      <c r="CH94" s="10">
        <f t="shared" si="170"/>
        <v>0.26795096322241679</v>
      </c>
      <c r="CI94" s="10">
        <f t="shared" si="171"/>
        <v>0.26795096322241679</v>
      </c>
      <c r="CJ94" s="10">
        <f t="shared" si="172"/>
        <v>0.26795096322241679</v>
      </c>
      <c r="CK94" s="10">
        <f t="shared" si="173"/>
        <v>0.26795096322241679</v>
      </c>
      <c r="CL94" s="10">
        <f t="shared" si="174"/>
        <v>0.26795096322241679</v>
      </c>
      <c r="CM94" s="10">
        <f t="shared" si="175"/>
        <v>0.26795096322241679</v>
      </c>
      <c r="CN94" s="10">
        <f t="shared" si="176"/>
        <v>0.26795096322241679</v>
      </c>
      <c r="CO94" s="10">
        <f t="shared" si="177"/>
        <v>0.26795096322241679</v>
      </c>
      <c r="CP94" s="10">
        <f t="shared" si="178"/>
        <v>0.26795096322241679</v>
      </c>
      <c r="CQ94" s="10">
        <f t="shared" si="179"/>
        <v>0.26795096322241679</v>
      </c>
      <c r="CR94" s="10">
        <f t="shared" si="180"/>
        <v>0.26795096322241679</v>
      </c>
      <c r="CS94" s="10">
        <f t="shared" si="181"/>
        <v>0.26795096322241679</v>
      </c>
      <c r="CT94" s="10">
        <f t="shared" si="182"/>
        <v>0.26795096322241679</v>
      </c>
      <c r="CU94" s="10">
        <f t="shared" si="183"/>
        <v>0.26795096322241679</v>
      </c>
      <c r="CV94" s="10">
        <f t="shared" si="184"/>
        <v>0.26795096322241679</v>
      </c>
      <c r="CW94" s="10">
        <f t="shared" si="185"/>
        <v>0.26795096322241679</v>
      </c>
      <c r="CX94" s="10">
        <f t="shared" si="186"/>
        <v>0.26795096322241679</v>
      </c>
      <c r="CY94" s="10">
        <f t="shared" si="187"/>
        <v>0.26795096322241679</v>
      </c>
      <c r="DB94" s="17"/>
      <c r="DC94" s="10">
        <f t="shared" si="188"/>
        <v>219.61471103327494</v>
      </c>
      <c r="DD94" s="10">
        <f t="shared" si="189"/>
        <v>205.18200710073614</v>
      </c>
      <c r="DE94" s="10">
        <f t="shared" si="190"/>
        <v>190.87136424007937</v>
      </c>
      <c r="DF94" s="10">
        <f t="shared" si="191"/>
        <v>176.80263223823761</v>
      </c>
      <c r="DG94" s="10">
        <f t="shared" si="192"/>
        <v>163.091311968822</v>
      </c>
      <c r="DH94" s="10">
        <f t="shared" si="193"/>
        <v>149.84656098591358</v>
      </c>
      <c r="DI94" s="10">
        <f t="shared" si="194"/>
        <v>137.16940402625008</v>
      </c>
      <c r="DJ94" s="10">
        <f t="shared" si="195"/>
        <v>125.15119901700731</v>
      </c>
      <c r="DK94" s="10">
        <f t="shared" si="196"/>
        <v>113.87239569200312</v>
      </c>
      <c r="DL94" s="10">
        <f t="shared" si="197"/>
        <v>103.40160897996398</v>
      </c>
      <c r="DM94" s="10">
        <f t="shared" si="198"/>
        <v>93.79501397956669</v>
      </c>
      <c r="DN94" s="10">
        <f t="shared" si="199"/>
        <v>85.096054600846415</v>
      </c>
      <c r="DO94" s="10">
        <f t="shared" si="200"/>
        <v>77.33544476085649</v>
      </c>
      <c r="DP94" s="10">
        <f t="shared" si="201"/>
        <v>70.531430137581609</v>
      </c>
      <c r="DQ94" s="10">
        <f t="shared" si="202"/>
        <v>64.690270455333277</v>
      </c>
      <c r="DR94" s="10">
        <f t="shared" si="203"/>
        <v>59.806897391063565</v>
      </c>
      <c r="DS94" s="10">
        <f t="shared" si="204"/>
        <v>55.86570148803942</v>
      </c>
      <c r="DT94" s="10">
        <f t="shared" si="205"/>
        <v>52.841402729642716</v>
      </c>
      <c r="DU94" s="10">
        <f t="shared" si="206"/>
        <v>50.699963240467852</v>
      </c>
      <c r="DV94" s="10">
        <f t="shared" si="207"/>
        <v>49.399506365412975</v>
      </c>
      <c r="DW94" s="10">
        <f t="shared" si="208"/>
        <v>48.89121345612493</v>
      </c>
      <c r="DX94" s="10">
        <f t="shared" si="209"/>
        <v>49.120177365922899</v>
      </c>
      <c r="DY94" s="10">
        <f t="shared" si="210"/>
        <v>50.026199253824295</v>
      </c>
      <c r="DZ94" s="10">
        <f t="shared" si="211"/>
        <v>51.544522253297849</v>
      </c>
      <c r="EA94" s="10">
        <f t="shared" si="212"/>
        <v>53.606501436207182</v>
      </c>
      <c r="EB94" s="10">
        <f t="shared" si="213"/>
        <v>56.140214024939766</v>
      </c>
      <c r="EC94" s="10">
        <f t="shared" si="214"/>
        <v>59.071016876220611</v>
      </c>
      <c r="ED94" s="10">
        <f t="shared" si="215"/>
        <v>62.322059942284532</v>
      </c>
      <c r="EE94" s="10">
        <f t="shared" si="216"/>
        <v>65.814764911003394</v>
      </c>
      <c r="EF94" s="10">
        <f t="shared" si="217"/>
        <v>69.469277838966178</v>
      </c>
      <c r="EG94" s="10">
        <f t="shared" si="218"/>
        <v>73.204903677758324</v>
      </c>
    </row>
    <row r="95" spans="6:137" x14ac:dyDescent="0.3">
      <c r="F95" s="17"/>
      <c r="G95" s="3">
        <v>300</v>
      </c>
      <c r="H95" s="2">
        <f t="shared" si="277"/>
        <v>280.28451209215393</v>
      </c>
      <c r="I95" s="2">
        <f t="shared" si="278"/>
        <v>260.73576311264435</v>
      </c>
      <c r="J95" s="2">
        <f t="shared" si="279"/>
        <v>241.51747131108533</v>
      </c>
      <c r="K95" s="2">
        <f t="shared" si="252"/>
        <v>222.78741419664439</v>
      </c>
      <c r="L95" s="2">
        <f t="shared" si="253"/>
        <v>204.69470412190589</v>
      </c>
      <c r="M95" s="2">
        <f t="shared" si="254"/>
        <v>187.37734377748521</v>
      </c>
      <c r="N95" s="2">
        <f t="shared" si="255"/>
        <v>170.96013071462005</v>
      </c>
      <c r="O95" s="2">
        <f t="shared" si="256"/>
        <v>155.55296157926745</v>
      </c>
      <c r="P95" s="2">
        <f t="shared" si="257"/>
        <v>141.24956633387427</v>
      </c>
      <c r="Q95" s="2">
        <f t="shared" si="258"/>
        <v>128.1266817759153</v>
      </c>
      <c r="R95" s="2">
        <f t="shared" si="259"/>
        <v>116.24365353369213</v>
      </c>
      <c r="S95" s="2">
        <f t="shared" si="260"/>
        <v>105.6424376996389</v>
      </c>
      <c r="T95" s="2">
        <f t="shared" si="261"/>
        <v>96.347958393682063</v>
      </c>
      <c r="U95" s="2">
        <f t="shared" si="262"/>
        <v>88.368766578936146</v>
      </c>
      <c r="V95" s="2">
        <f t="shared" si="263"/>
        <v>81.697938780615544</v>
      </c>
      <c r="W95" s="2">
        <f t="shared" si="264"/>
        <v>76.314152032704555</v>
      </c>
      <c r="X95" s="2">
        <f t="shared" si="265"/>
        <v>72.182873106760752</v>
      </c>
      <c r="Y95" s="2">
        <f t="shared" si="266"/>
        <v>69.257605287816148</v>
      </c>
      <c r="Z95" s="2">
        <f t="shared" si="267"/>
        <v>67.481143862800991</v>
      </c>
      <c r="AA95" s="2">
        <f t="shared" si="268"/>
        <v>66.786801156572565</v>
      </c>
      <c r="AB95" s="2">
        <f t="shared" si="269"/>
        <v>67.099572430483192</v>
      </c>
      <c r="AC95" s="2">
        <f t="shared" si="270"/>
        <v>68.33722433955424</v>
      </c>
      <c r="AD95" s="2">
        <f t="shared" si="271"/>
        <v>70.411297145055215</v>
      </c>
      <c r="AE95" s="2">
        <f t="shared" si="272"/>
        <v>73.228019904483972</v>
      </c>
      <c r="AF95" s="2">
        <f t="shared" si="273"/>
        <v>76.689144038853129</v>
      </c>
      <c r="AG95" s="2">
        <f t="shared" si="274"/>
        <v>80.692704871583658</v>
      </c>
      <c r="AH95" s="2">
        <f t="shared" si="275"/>
        <v>85.13372303120687</v>
      </c>
      <c r="AI95" s="2">
        <f t="shared" si="276"/>
        <v>89.904858287519005</v>
      </c>
      <c r="AJ95" s="2">
        <f t="shared" si="221"/>
        <v>94.897027861362886</v>
      </c>
      <c r="AK95" s="2">
        <v>100</v>
      </c>
      <c r="AM95" s="17"/>
      <c r="AN95" s="10">
        <f t="shared" si="220"/>
        <v>-2483999999.9999995</v>
      </c>
      <c r="AO95" s="10">
        <f t="shared" si="237"/>
        <v>-2320755760.123034</v>
      </c>
      <c r="AP95" s="10">
        <f t="shared" si="238"/>
        <v>-2158892118.5726943</v>
      </c>
      <c r="AQ95" s="10">
        <f t="shared" si="239"/>
        <v>-1999764662.4557862</v>
      </c>
      <c r="AR95" s="10">
        <f t="shared" si="240"/>
        <v>-1844679789.5482152</v>
      </c>
      <c r="AS95" s="10">
        <f t="shared" si="241"/>
        <v>-1694872150.1293802</v>
      </c>
      <c r="AT95" s="10">
        <f t="shared" si="242"/>
        <v>-1551484406.477577</v>
      </c>
      <c r="AU95" s="10">
        <f t="shared" si="243"/>
        <v>-1415549882.3170536</v>
      </c>
      <c r="AV95" s="10">
        <f t="shared" si="244"/>
        <v>-1287978521.8763342</v>
      </c>
      <c r="AW95" s="10">
        <f t="shared" si="245"/>
        <v>-1169546409.2444787</v>
      </c>
      <c r="AX95" s="10">
        <f t="shared" si="246"/>
        <v>-1060888925.1045785</v>
      </c>
      <c r="AY95" s="10">
        <f t="shared" si="247"/>
        <v>-962497451.25897062</v>
      </c>
      <c r="AZ95" s="10">
        <f t="shared" si="248"/>
        <v>-874719384.15301001</v>
      </c>
      <c r="BA95" s="10">
        <f t="shared" si="249"/>
        <v>-797761095.49968731</v>
      </c>
      <c r="BB95" s="10">
        <f t="shared" si="250"/>
        <v>-731693387.27359104</v>
      </c>
      <c r="BC95" s="10">
        <f t="shared" si="251"/>
        <v>-676458933.10349655</v>
      </c>
      <c r="BD95" s="10">
        <f t="shared" si="222"/>
        <v>-631881178.83079362</v>
      </c>
      <c r="BE95" s="10">
        <f t="shared" si="223"/>
        <v>-597674189.3239789</v>
      </c>
      <c r="BF95" s="10">
        <f t="shared" si="224"/>
        <v>-573452971.78311765</v>
      </c>
      <c r="BG95" s="10">
        <f t="shared" si="225"/>
        <v>-558743871.18399215</v>
      </c>
      <c r="BH95" s="10">
        <f t="shared" si="226"/>
        <v>-552994713.57642078</v>
      </c>
      <c r="BI95" s="10">
        <f t="shared" si="227"/>
        <v>-555584459.72440076</v>
      </c>
      <c r="BJ95" s="10">
        <f t="shared" si="228"/>
        <v>-565832217.53150904</v>
      </c>
      <c r="BK95" s="10">
        <f t="shared" si="229"/>
        <v>-583005540.36105704</v>
      </c>
      <c r="BL95" s="10">
        <f t="shared" si="230"/>
        <v>-606328004.80912721</v>
      </c>
      <c r="BM95" s="10">
        <f t="shared" si="231"/>
        <v>-634986112.64170372</v>
      </c>
      <c r="BN95" s="10">
        <f t="shared" si="232"/>
        <v>-668135596.3367126</v>
      </c>
      <c r="BO95" s="10">
        <f t="shared" si="233"/>
        <v>-704907226.69839275</v>
      </c>
      <c r="BP95" s="10">
        <f t="shared" si="234"/>
        <v>-744412226.62065721</v>
      </c>
      <c r="BQ95" s="10">
        <f t="shared" si="235"/>
        <v>-785747390.69208455</v>
      </c>
      <c r="BR95" s="10">
        <f t="shared" si="236"/>
        <v>-827999999.99999988</v>
      </c>
      <c r="BT95" s="17"/>
      <c r="BU95" s="10">
        <f t="shared" si="157"/>
        <v>0.26797385620915032</v>
      </c>
      <c r="BV95" s="10">
        <f t="shared" si="158"/>
        <v>0.26797385620915032</v>
      </c>
      <c r="BW95" s="10">
        <f t="shared" si="159"/>
        <v>0.26797385620915032</v>
      </c>
      <c r="BX95" s="10">
        <f t="shared" si="160"/>
        <v>0.26797385620915032</v>
      </c>
      <c r="BY95" s="10">
        <f t="shared" si="161"/>
        <v>0.26797385620915032</v>
      </c>
      <c r="BZ95" s="10">
        <f t="shared" si="162"/>
        <v>0.26797385620915032</v>
      </c>
      <c r="CA95" s="10">
        <f t="shared" si="163"/>
        <v>0.26797385620915032</v>
      </c>
      <c r="CB95" s="10">
        <f t="shared" si="164"/>
        <v>0.26797385620915032</v>
      </c>
      <c r="CC95" s="10">
        <f t="shared" si="165"/>
        <v>0.26797385620915032</v>
      </c>
      <c r="CD95" s="10">
        <f t="shared" si="166"/>
        <v>0.26797385620915032</v>
      </c>
      <c r="CE95" s="10">
        <f t="shared" si="167"/>
        <v>0.26797385620915032</v>
      </c>
      <c r="CF95" s="10">
        <f t="shared" si="168"/>
        <v>0.26797385620915032</v>
      </c>
      <c r="CG95" s="10">
        <f t="shared" si="169"/>
        <v>0.26797385620915032</v>
      </c>
      <c r="CH95" s="10">
        <f t="shared" si="170"/>
        <v>0.26797385620915032</v>
      </c>
      <c r="CI95" s="10">
        <f t="shared" si="171"/>
        <v>0.26797385620915032</v>
      </c>
      <c r="CJ95" s="10">
        <f t="shared" si="172"/>
        <v>0.26797385620915032</v>
      </c>
      <c r="CK95" s="10">
        <f t="shared" si="173"/>
        <v>0.26797385620915032</v>
      </c>
      <c r="CL95" s="10">
        <f t="shared" si="174"/>
        <v>0.26797385620915032</v>
      </c>
      <c r="CM95" s="10">
        <f t="shared" si="175"/>
        <v>0.26797385620915032</v>
      </c>
      <c r="CN95" s="10">
        <f t="shared" si="176"/>
        <v>0.26797385620915032</v>
      </c>
      <c r="CO95" s="10">
        <f t="shared" si="177"/>
        <v>0.26797385620915032</v>
      </c>
      <c r="CP95" s="10">
        <f t="shared" si="178"/>
        <v>0.26797385620915032</v>
      </c>
      <c r="CQ95" s="10">
        <f t="shared" si="179"/>
        <v>0.26797385620915032</v>
      </c>
      <c r="CR95" s="10">
        <f t="shared" si="180"/>
        <v>0.26797385620915032</v>
      </c>
      <c r="CS95" s="10">
        <f t="shared" si="181"/>
        <v>0.26797385620915032</v>
      </c>
      <c r="CT95" s="10">
        <f t="shared" si="182"/>
        <v>0.26797385620915032</v>
      </c>
      <c r="CU95" s="10">
        <f t="shared" si="183"/>
        <v>0.26797385620915032</v>
      </c>
      <c r="CV95" s="10">
        <f t="shared" si="184"/>
        <v>0.26797385620915032</v>
      </c>
      <c r="CW95" s="10">
        <f t="shared" si="185"/>
        <v>0.26797385620915032</v>
      </c>
      <c r="CX95" s="10">
        <f t="shared" si="186"/>
        <v>0.26797385620915032</v>
      </c>
      <c r="CY95" s="10">
        <f t="shared" si="187"/>
        <v>0.26797385620915032</v>
      </c>
      <c r="DB95" s="17"/>
      <c r="DC95" s="10">
        <f t="shared" si="188"/>
        <v>219.60784313725489</v>
      </c>
      <c r="DD95" s="10">
        <f t="shared" si="189"/>
        <v>205.17559055111923</v>
      </c>
      <c r="DE95" s="10">
        <f t="shared" si="190"/>
        <v>190.86539521971349</v>
      </c>
      <c r="DF95" s="10">
        <f t="shared" si="191"/>
        <v>176.79710318197098</v>
      </c>
      <c r="DG95" s="10">
        <f t="shared" si="192"/>
        <v>163.08621169950439</v>
      </c>
      <c r="DH95" s="10">
        <f t="shared" si="193"/>
        <v>149.84187491276771</v>
      </c>
      <c r="DI95" s="10">
        <f t="shared" si="194"/>
        <v>137.16511439920487</v>
      </c>
      <c r="DJ95" s="10">
        <f t="shared" si="195"/>
        <v>125.14728522900292</v>
      </c>
      <c r="DK95" s="10">
        <f t="shared" si="196"/>
        <v>113.86883462011735</v>
      </c>
      <c r="DL95" s="10">
        <f t="shared" si="197"/>
        <v>103.39837535551582</v>
      </c>
      <c r="DM95" s="10">
        <f t="shared" si="198"/>
        <v>93.792080777140612</v>
      </c>
      <c r="DN95" s="10">
        <f t="shared" si="199"/>
        <v>85.093393436428229</v>
      </c>
      <c r="DO95" s="10">
        <f t="shared" si="200"/>
        <v>77.333026289931752</v>
      </c>
      <c r="DP95" s="10">
        <f t="shared" si="201"/>
        <v>70.5292244450483</v>
      </c>
      <c r="DQ95" s="10">
        <f t="shared" si="202"/>
        <v>64.688247430332339</v>
      </c>
      <c r="DR95" s="10">
        <f t="shared" si="203"/>
        <v>59.805027081234911</v>
      </c>
      <c r="DS95" s="10">
        <f t="shared" si="204"/>
        <v>55.863954429169354</v>
      </c>
      <c r="DT95" s="10">
        <f t="shared" si="205"/>
        <v>52.839750248086304</v>
      </c>
      <c r="DU95" s="10">
        <f t="shared" si="206"/>
        <v>50.69837772702882</v>
      </c>
      <c r="DV95" s="10">
        <f t="shared" si="207"/>
        <v>49.397961520481779</v>
      </c>
      <c r="DW95" s="10">
        <f t="shared" si="208"/>
        <v>48.889684506772078</v>
      </c>
      <c r="DX95" s="10">
        <f t="shared" si="209"/>
        <v>49.11864125630143</v>
      </c>
      <c r="DY95" s="10">
        <f t="shared" si="210"/>
        <v>50.024634810654092</v>
      </c>
      <c r="DZ95" s="10">
        <f t="shared" si="211"/>
        <v>51.542910328406428</v>
      </c>
      <c r="EA95" s="10">
        <f t="shared" si="212"/>
        <v>53.604825028118995</v>
      </c>
      <c r="EB95" s="10">
        <f t="shared" si="213"/>
        <v>56.138458381382691</v>
      </c>
      <c r="EC95" s="10">
        <f t="shared" si="214"/>
        <v>59.069169579198501</v>
      </c>
      <c r="ED95" s="10">
        <f t="shared" si="215"/>
        <v>62.320110977092618</v>
      </c>
      <c r="EE95" s="10">
        <f t="shared" si="216"/>
        <v>65.812706720275358</v>
      </c>
      <c r="EF95" s="10">
        <f t="shared" si="217"/>
        <v>69.467105362566301</v>
      </c>
      <c r="EG95" s="10">
        <f t="shared" si="218"/>
        <v>73.202614379084963</v>
      </c>
    </row>
    <row r="96" spans="6:137" x14ac:dyDescent="0.3">
      <c r="F96" s="17"/>
      <c r="G96" s="3">
        <v>300</v>
      </c>
      <c r="H96" s="2">
        <f t="shared" si="277"/>
        <v>280.28451209215393</v>
      </c>
      <c r="I96" s="2">
        <f t="shared" si="278"/>
        <v>260.73576311264435</v>
      </c>
      <c r="J96" s="2">
        <f t="shared" si="279"/>
        <v>241.51747131108536</v>
      </c>
      <c r="K96" s="2">
        <f t="shared" si="252"/>
        <v>222.78741419664442</v>
      </c>
      <c r="L96" s="2">
        <f t="shared" si="253"/>
        <v>204.69470412190594</v>
      </c>
      <c r="M96" s="2">
        <f t="shared" si="254"/>
        <v>187.37734377748524</v>
      </c>
      <c r="N96" s="2">
        <f t="shared" si="255"/>
        <v>170.96013071462013</v>
      </c>
      <c r="O96" s="2">
        <f t="shared" si="256"/>
        <v>155.5529615792675</v>
      </c>
      <c r="P96" s="2">
        <f t="shared" si="257"/>
        <v>141.24956633387433</v>
      </c>
      <c r="Q96" s="2">
        <f t="shared" si="258"/>
        <v>128.12668177591533</v>
      </c>
      <c r="R96" s="2">
        <f t="shared" si="259"/>
        <v>116.24365353369214</v>
      </c>
      <c r="S96" s="2">
        <f t="shared" si="260"/>
        <v>105.64243769963892</v>
      </c>
      <c r="T96" s="2">
        <f t="shared" si="261"/>
        <v>96.347958393682063</v>
      </c>
      <c r="U96" s="2">
        <f t="shared" si="262"/>
        <v>88.36876657893616</v>
      </c>
      <c r="V96" s="2">
        <f t="shared" si="263"/>
        <v>81.697938780615573</v>
      </c>
      <c r="W96" s="2">
        <f t="shared" si="264"/>
        <v>76.31415203270457</v>
      </c>
      <c r="X96" s="2">
        <f t="shared" si="265"/>
        <v>72.182873106760766</v>
      </c>
      <c r="Y96" s="2">
        <f t="shared" si="266"/>
        <v>69.257605287816148</v>
      </c>
      <c r="Z96" s="2">
        <f t="shared" si="267"/>
        <v>67.481143862801005</v>
      </c>
      <c r="AA96" s="2">
        <f t="shared" si="268"/>
        <v>66.786801156572579</v>
      </c>
      <c r="AB96" s="2">
        <f t="shared" si="269"/>
        <v>67.099572430483207</v>
      </c>
      <c r="AC96" s="2">
        <f t="shared" si="270"/>
        <v>68.33722433955424</v>
      </c>
      <c r="AD96" s="2">
        <f t="shared" si="271"/>
        <v>70.411297145055215</v>
      </c>
      <c r="AE96" s="2">
        <f t="shared" si="272"/>
        <v>73.228019904484015</v>
      </c>
      <c r="AF96" s="2">
        <f t="shared" si="273"/>
        <v>76.689144038853172</v>
      </c>
      <c r="AG96" s="2">
        <f t="shared" si="274"/>
        <v>80.692704871583686</v>
      </c>
      <c r="AH96" s="2">
        <f t="shared" si="275"/>
        <v>85.133723031206912</v>
      </c>
      <c r="AI96" s="2">
        <f t="shared" si="276"/>
        <v>89.904858287519005</v>
      </c>
      <c r="AJ96" s="2">
        <f t="shared" si="221"/>
        <v>94.897027861362886</v>
      </c>
      <c r="AK96" s="2">
        <v>100</v>
      </c>
      <c r="AM96" s="17"/>
      <c r="AN96" s="10">
        <f t="shared" si="220"/>
        <v>-2483999999.9999995</v>
      </c>
      <c r="AO96" s="10">
        <f t="shared" si="237"/>
        <v>-2320755760.123034</v>
      </c>
      <c r="AP96" s="10">
        <f t="shared" si="238"/>
        <v>-2158892118.5726943</v>
      </c>
      <c r="AQ96" s="10">
        <f t="shared" si="239"/>
        <v>-1999764662.4557862</v>
      </c>
      <c r="AR96" s="10">
        <f t="shared" si="240"/>
        <v>-1844679789.5482154</v>
      </c>
      <c r="AS96" s="10">
        <f t="shared" si="241"/>
        <v>-1694872150.1293805</v>
      </c>
      <c r="AT96" s="10">
        <f t="shared" si="242"/>
        <v>-1551484406.4775777</v>
      </c>
      <c r="AU96" s="10">
        <f t="shared" si="243"/>
        <v>-1415549882.3170547</v>
      </c>
      <c r="AV96" s="10">
        <f t="shared" si="244"/>
        <v>-1287978521.8763347</v>
      </c>
      <c r="AW96" s="10">
        <f t="shared" si="245"/>
        <v>-1169546409.2444792</v>
      </c>
      <c r="AX96" s="10">
        <f t="shared" si="246"/>
        <v>-1060888925.1045785</v>
      </c>
      <c r="AY96" s="10">
        <f t="shared" si="247"/>
        <v>-962497451.25897062</v>
      </c>
      <c r="AZ96" s="10">
        <f t="shared" si="248"/>
        <v>-874719384.15301001</v>
      </c>
      <c r="BA96" s="10">
        <f t="shared" si="249"/>
        <v>-797761095.49968731</v>
      </c>
      <c r="BB96" s="10">
        <f t="shared" si="250"/>
        <v>-731693387.27359116</v>
      </c>
      <c r="BC96" s="10">
        <f t="shared" si="251"/>
        <v>-676458933.10349691</v>
      </c>
      <c r="BD96" s="10">
        <f t="shared" si="222"/>
        <v>-631881178.83079374</v>
      </c>
      <c r="BE96" s="10">
        <f t="shared" si="223"/>
        <v>-597674189.32397902</v>
      </c>
      <c r="BF96" s="10">
        <f t="shared" si="224"/>
        <v>-573452971.78311765</v>
      </c>
      <c r="BG96" s="10">
        <f t="shared" si="225"/>
        <v>-558743871.18399215</v>
      </c>
      <c r="BH96" s="10">
        <f t="shared" si="226"/>
        <v>-552994713.57642078</v>
      </c>
      <c r="BI96" s="10">
        <f t="shared" si="227"/>
        <v>-555584459.72440076</v>
      </c>
      <c r="BJ96" s="10">
        <f t="shared" si="228"/>
        <v>-565832217.53150904</v>
      </c>
      <c r="BK96" s="10">
        <f t="shared" si="229"/>
        <v>-583005540.36105704</v>
      </c>
      <c r="BL96" s="10">
        <f t="shared" si="230"/>
        <v>-606328004.80912757</v>
      </c>
      <c r="BM96" s="10">
        <f t="shared" si="231"/>
        <v>-634986112.64170432</v>
      </c>
      <c r="BN96" s="10">
        <f t="shared" si="232"/>
        <v>-668135596.33671284</v>
      </c>
      <c r="BO96" s="10">
        <f t="shared" si="233"/>
        <v>-704907226.69839311</v>
      </c>
      <c r="BP96" s="10">
        <f t="shared" si="234"/>
        <v>-744412226.62065721</v>
      </c>
      <c r="BQ96" s="10">
        <f t="shared" si="235"/>
        <v>-785747390.69208455</v>
      </c>
      <c r="BR96" s="10">
        <f t="shared" si="236"/>
        <v>-827999999.99999988</v>
      </c>
      <c r="BT96" s="17"/>
      <c r="BU96" s="10">
        <f t="shared" si="157"/>
        <v>0.26829268292682928</v>
      </c>
      <c r="BV96" s="10">
        <f t="shared" si="158"/>
        <v>0.26829268292682928</v>
      </c>
      <c r="BW96" s="10">
        <f t="shared" si="159"/>
        <v>0.26829268292682928</v>
      </c>
      <c r="BX96" s="10">
        <f t="shared" si="160"/>
        <v>0.26829268292682928</v>
      </c>
      <c r="BY96" s="10">
        <f t="shared" si="161"/>
        <v>0.26829268292682928</v>
      </c>
      <c r="BZ96" s="10">
        <f t="shared" si="162"/>
        <v>0.26829268292682928</v>
      </c>
      <c r="CA96" s="10">
        <f t="shared" si="163"/>
        <v>0.26829268292682928</v>
      </c>
      <c r="CB96" s="10">
        <f t="shared" si="164"/>
        <v>0.26829268292682928</v>
      </c>
      <c r="CC96" s="10">
        <f t="shared" si="165"/>
        <v>0.26829268292682928</v>
      </c>
      <c r="CD96" s="10">
        <f t="shared" si="166"/>
        <v>0.26829268292682928</v>
      </c>
      <c r="CE96" s="10">
        <f t="shared" si="167"/>
        <v>0.26829268292682928</v>
      </c>
      <c r="CF96" s="10">
        <f t="shared" si="168"/>
        <v>0.26829268292682928</v>
      </c>
      <c r="CG96" s="10">
        <f t="shared" si="169"/>
        <v>0.26829268292682928</v>
      </c>
      <c r="CH96" s="10">
        <f t="shared" si="170"/>
        <v>0.26829268292682928</v>
      </c>
      <c r="CI96" s="10">
        <f t="shared" si="171"/>
        <v>0.26829268292682928</v>
      </c>
      <c r="CJ96" s="10">
        <f t="shared" si="172"/>
        <v>0.26829268292682928</v>
      </c>
      <c r="CK96" s="10">
        <f t="shared" si="173"/>
        <v>0.26829268292682928</v>
      </c>
      <c r="CL96" s="10">
        <f t="shared" si="174"/>
        <v>0.26829268292682928</v>
      </c>
      <c r="CM96" s="10">
        <f t="shared" si="175"/>
        <v>0.26829268292682928</v>
      </c>
      <c r="CN96" s="10">
        <f t="shared" si="176"/>
        <v>0.26829268292682928</v>
      </c>
      <c r="CO96" s="10">
        <f t="shared" si="177"/>
        <v>0.26829268292682928</v>
      </c>
      <c r="CP96" s="10">
        <f t="shared" si="178"/>
        <v>0.26829268292682928</v>
      </c>
      <c r="CQ96" s="10">
        <f t="shared" si="179"/>
        <v>0.26829268292682928</v>
      </c>
      <c r="CR96" s="10">
        <f t="shared" si="180"/>
        <v>0.26829268292682928</v>
      </c>
      <c r="CS96" s="10">
        <f t="shared" si="181"/>
        <v>0.26829268292682928</v>
      </c>
      <c r="CT96" s="10">
        <f t="shared" si="182"/>
        <v>0.26829268292682928</v>
      </c>
      <c r="CU96" s="10">
        <f t="shared" si="183"/>
        <v>0.26829268292682928</v>
      </c>
      <c r="CV96" s="10">
        <f t="shared" si="184"/>
        <v>0.26829268292682928</v>
      </c>
      <c r="CW96" s="10">
        <f t="shared" si="185"/>
        <v>0.26829268292682928</v>
      </c>
      <c r="CX96" s="10">
        <f t="shared" si="186"/>
        <v>0.26829268292682928</v>
      </c>
      <c r="CY96" s="10">
        <f t="shared" si="187"/>
        <v>0.26829268292682928</v>
      </c>
      <c r="DB96" s="17"/>
      <c r="DC96" s="10">
        <f t="shared" si="188"/>
        <v>219.51219512195124</v>
      </c>
      <c r="DD96" s="10">
        <f t="shared" si="189"/>
        <v>205.08622836011264</v>
      </c>
      <c r="DE96" s="10">
        <f t="shared" si="190"/>
        <v>190.78226569217875</v>
      </c>
      <c r="DF96" s="10">
        <f t="shared" si="191"/>
        <v>176.72010095933075</v>
      </c>
      <c r="DG96" s="10">
        <f t="shared" si="192"/>
        <v>163.01518111949594</v>
      </c>
      <c r="DH96" s="10">
        <f t="shared" si="193"/>
        <v>149.7766127721263</v>
      </c>
      <c r="DI96" s="10">
        <f t="shared" si="194"/>
        <v>137.10537349572093</v>
      </c>
      <c r="DJ96" s="10">
        <f t="shared" si="195"/>
        <v>125.09277857167329</v>
      </c>
      <c r="DK96" s="10">
        <f t="shared" si="196"/>
        <v>113.81924017995185</v>
      </c>
      <c r="DL96" s="10">
        <f t="shared" si="197"/>
        <v>103.35334121990806</v>
      </c>
      <c r="DM96" s="10">
        <f t="shared" si="198"/>
        <v>93.751230567742923</v>
      </c>
      <c r="DN96" s="10">
        <f t="shared" si="199"/>
        <v>85.05633185392108</v>
      </c>
      <c r="DO96" s="10">
        <f t="shared" si="200"/>
        <v>77.299344658272375</v>
      </c>
      <c r="DP96" s="10">
        <f t="shared" si="201"/>
        <v>70.498506141718579</v>
      </c>
      <c r="DQ96" s="10">
        <f t="shared" si="202"/>
        <v>64.660073106538661</v>
      </c>
      <c r="DR96" s="10">
        <f t="shared" si="203"/>
        <v>59.77897959557238</v>
      </c>
      <c r="DS96" s="10">
        <f t="shared" si="204"/>
        <v>55.839623438564324</v>
      </c>
      <c r="DT96" s="10">
        <f t="shared" si="205"/>
        <v>52.816736419581055</v>
      </c>
      <c r="DU96" s="10">
        <f t="shared" si="206"/>
        <v>50.676296552060599</v>
      </c>
      <c r="DV96" s="10">
        <f t="shared" si="207"/>
        <v>49.376446728878783</v>
      </c>
      <c r="DW96" s="10">
        <f t="shared" si="208"/>
        <v>48.868391090175052</v>
      </c>
      <c r="DX96" s="10">
        <f t="shared" si="209"/>
        <v>49.09724811986576</v>
      </c>
      <c r="DY96" s="10">
        <f t="shared" si="210"/>
        <v>50.00284707772262</v>
      </c>
      <c r="DZ96" s="10">
        <f t="shared" si="211"/>
        <v>51.520461325650153</v>
      </c>
      <c r="EA96" s="10">
        <f t="shared" si="212"/>
        <v>53.581477978890753</v>
      </c>
      <c r="EB96" s="10">
        <f t="shared" si="213"/>
        <v>56.114007833307213</v>
      </c>
      <c r="EC96" s="10">
        <f t="shared" si="214"/>
        <v>59.043442588963686</v>
      </c>
      <c r="ED96" s="10">
        <f t="shared" si="215"/>
        <v>62.292968071614823</v>
      </c>
      <c r="EE96" s="10">
        <f t="shared" si="216"/>
        <v>65.784042649404157</v>
      </c>
      <c r="EF96" s="10">
        <f t="shared" si="217"/>
        <v>69.436849654655774</v>
      </c>
      <c r="EG96" s="10">
        <f t="shared" si="218"/>
        <v>73.170731707317074</v>
      </c>
    </row>
    <row r="97" spans="6:137" x14ac:dyDescent="0.3">
      <c r="F97" s="17"/>
      <c r="G97" s="3">
        <v>300</v>
      </c>
      <c r="H97" s="2">
        <f t="shared" si="277"/>
        <v>280.28451209215399</v>
      </c>
      <c r="I97" s="2">
        <f t="shared" si="278"/>
        <v>260.73576311264435</v>
      </c>
      <c r="J97" s="2">
        <f t="shared" si="279"/>
        <v>241.51747131108539</v>
      </c>
      <c r="K97" s="2">
        <f t="shared" si="252"/>
        <v>222.78741419664445</v>
      </c>
      <c r="L97" s="2">
        <f t="shared" si="253"/>
        <v>204.69470412190594</v>
      </c>
      <c r="M97" s="2">
        <f t="shared" si="254"/>
        <v>187.37734377748529</v>
      </c>
      <c r="N97" s="2">
        <f t="shared" si="255"/>
        <v>170.96013071462016</v>
      </c>
      <c r="O97" s="2">
        <f t="shared" si="256"/>
        <v>155.55296157926756</v>
      </c>
      <c r="P97" s="2">
        <f t="shared" si="257"/>
        <v>141.24956633387433</v>
      </c>
      <c r="Q97" s="2">
        <f t="shared" si="258"/>
        <v>128.12668177591533</v>
      </c>
      <c r="R97" s="2">
        <f t="shared" si="259"/>
        <v>116.24365353369215</v>
      </c>
      <c r="S97" s="2">
        <f t="shared" si="260"/>
        <v>105.64243769963895</v>
      </c>
      <c r="T97" s="2">
        <f t="shared" si="261"/>
        <v>96.347958393682077</v>
      </c>
      <c r="U97" s="2">
        <f t="shared" si="262"/>
        <v>88.368766578936174</v>
      </c>
      <c r="V97" s="2">
        <f t="shared" si="263"/>
        <v>81.697938780615601</v>
      </c>
      <c r="W97" s="2">
        <f t="shared" si="264"/>
        <v>76.314152032704584</v>
      </c>
      <c r="X97" s="2">
        <f t="shared" si="265"/>
        <v>72.182873106760781</v>
      </c>
      <c r="Y97" s="2">
        <f t="shared" si="266"/>
        <v>69.257605287816162</v>
      </c>
      <c r="Z97" s="2">
        <f t="shared" si="267"/>
        <v>67.481143862801005</v>
      </c>
      <c r="AA97" s="2">
        <f t="shared" si="268"/>
        <v>66.786801156572594</v>
      </c>
      <c r="AB97" s="2">
        <f t="shared" si="269"/>
        <v>67.099572430483221</v>
      </c>
      <c r="AC97" s="2">
        <f t="shared" si="270"/>
        <v>68.337224339554268</v>
      </c>
      <c r="AD97" s="2">
        <f t="shared" si="271"/>
        <v>70.411297145055229</v>
      </c>
      <c r="AE97" s="2">
        <f t="shared" si="272"/>
        <v>73.228019904484029</v>
      </c>
      <c r="AF97" s="2">
        <f t="shared" si="273"/>
        <v>76.689144038853186</v>
      </c>
      <c r="AG97" s="2">
        <f t="shared" si="274"/>
        <v>80.692704871583715</v>
      </c>
      <c r="AH97" s="2">
        <f t="shared" si="275"/>
        <v>85.133723031206927</v>
      </c>
      <c r="AI97" s="2">
        <f t="shared" si="276"/>
        <v>89.904858287519019</v>
      </c>
      <c r="AJ97" s="2">
        <f t="shared" si="221"/>
        <v>94.897027861362886</v>
      </c>
      <c r="AK97" s="2">
        <v>100</v>
      </c>
      <c r="AM97" s="17"/>
      <c r="AN97" s="10">
        <f t="shared" si="220"/>
        <v>-2483999999.9999995</v>
      </c>
      <c r="AO97" s="10">
        <f t="shared" si="237"/>
        <v>-2320755760.1230345</v>
      </c>
      <c r="AP97" s="10">
        <f t="shared" si="238"/>
        <v>-2158892118.5726948</v>
      </c>
      <c r="AQ97" s="10">
        <f t="shared" si="239"/>
        <v>-1999764662.4557867</v>
      </c>
      <c r="AR97" s="10">
        <f t="shared" si="240"/>
        <v>-1844679789.5482154</v>
      </c>
      <c r="AS97" s="10">
        <f t="shared" si="241"/>
        <v>-1694872150.1293807</v>
      </c>
      <c r="AT97" s="10">
        <f t="shared" si="242"/>
        <v>-1551484406.4775777</v>
      </c>
      <c r="AU97" s="10">
        <f t="shared" si="243"/>
        <v>-1415549882.3170547</v>
      </c>
      <c r="AV97" s="10">
        <f t="shared" si="244"/>
        <v>-1287978521.8763351</v>
      </c>
      <c r="AW97" s="10">
        <f t="shared" si="245"/>
        <v>-1169546409.2444794</v>
      </c>
      <c r="AX97" s="10">
        <f t="shared" si="246"/>
        <v>-1060888925.1045787</v>
      </c>
      <c r="AY97" s="10">
        <f t="shared" si="247"/>
        <v>-962497451.25897086</v>
      </c>
      <c r="AZ97" s="10">
        <f t="shared" si="248"/>
        <v>-874719384.15301025</v>
      </c>
      <c r="BA97" s="10">
        <f t="shared" si="249"/>
        <v>-797761095.49968743</v>
      </c>
      <c r="BB97" s="10">
        <f t="shared" si="250"/>
        <v>-731693387.2735914</v>
      </c>
      <c r="BC97" s="10">
        <f t="shared" si="251"/>
        <v>-676458933.10349703</v>
      </c>
      <c r="BD97" s="10">
        <f t="shared" si="222"/>
        <v>-631881178.83079386</v>
      </c>
      <c r="BE97" s="10">
        <f t="shared" si="223"/>
        <v>-597674189.32397914</v>
      </c>
      <c r="BF97" s="10">
        <f t="shared" si="224"/>
        <v>-573452971.78311777</v>
      </c>
      <c r="BG97" s="10">
        <f t="shared" si="225"/>
        <v>-558743871.18399215</v>
      </c>
      <c r="BH97" s="10">
        <f t="shared" si="226"/>
        <v>-552994713.5764209</v>
      </c>
      <c r="BI97" s="10">
        <f t="shared" si="227"/>
        <v>-555584459.72440088</v>
      </c>
      <c r="BJ97" s="10">
        <f t="shared" si="228"/>
        <v>-565832217.53150928</v>
      </c>
      <c r="BK97" s="10">
        <f t="shared" si="229"/>
        <v>-583005540.36105716</v>
      </c>
      <c r="BL97" s="10">
        <f t="shared" si="230"/>
        <v>-606328004.80912757</v>
      </c>
      <c r="BM97" s="10">
        <f t="shared" si="231"/>
        <v>-634986112.64170432</v>
      </c>
      <c r="BN97" s="10">
        <f t="shared" si="232"/>
        <v>-668135596.33671296</v>
      </c>
      <c r="BO97" s="10">
        <f t="shared" si="233"/>
        <v>-704907226.69839311</v>
      </c>
      <c r="BP97" s="10">
        <f t="shared" si="234"/>
        <v>-744412226.62065721</v>
      </c>
      <c r="BQ97" s="10">
        <f t="shared" si="235"/>
        <v>-785747390.69208455</v>
      </c>
      <c r="BR97" s="10">
        <f t="shared" si="236"/>
        <v>-827999999.99999988</v>
      </c>
      <c r="BT97" s="17"/>
      <c r="BU97" s="10">
        <f t="shared" si="157"/>
        <v>0.27272727272727271</v>
      </c>
      <c r="BV97" s="10">
        <f t="shared" si="158"/>
        <v>0.27272727272727271</v>
      </c>
      <c r="BW97" s="10">
        <f t="shared" si="159"/>
        <v>0.27272727272727271</v>
      </c>
      <c r="BX97" s="10">
        <f t="shared" si="160"/>
        <v>0.27272727272727271</v>
      </c>
      <c r="BY97" s="10">
        <f t="shared" si="161"/>
        <v>0.27272727272727271</v>
      </c>
      <c r="BZ97" s="10">
        <f t="shared" si="162"/>
        <v>0.27272727272727271</v>
      </c>
      <c r="CA97" s="10">
        <f t="shared" si="163"/>
        <v>0.27272727272727271</v>
      </c>
      <c r="CB97" s="10">
        <f t="shared" si="164"/>
        <v>0.27272727272727271</v>
      </c>
      <c r="CC97" s="10">
        <f t="shared" si="165"/>
        <v>0.27272727272727271</v>
      </c>
      <c r="CD97" s="10">
        <f t="shared" si="166"/>
        <v>0.27272727272727271</v>
      </c>
      <c r="CE97" s="10">
        <f t="shared" si="167"/>
        <v>0.27272727272727271</v>
      </c>
      <c r="CF97" s="10">
        <f t="shared" si="168"/>
        <v>0.27272727272727271</v>
      </c>
      <c r="CG97" s="10">
        <f t="shared" si="169"/>
        <v>0.27272727272727271</v>
      </c>
      <c r="CH97" s="10">
        <f t="shared" si="170"/>
        <v>0.27272727272727271</v>
      </c>
      <c r="CI97" s="10">
        <f t="shared" si="171"/>
        <v>0.27272727272727271</v>
      </c>
      <c r="CJ97" s="10">
        <f t="shared" si="172"/>
        <v>0.27272727272727271</v>
      </c>
      <c r="CK97" s="10">
        <f t="shared" si="173"/>
        <v>0.27272727272727271</v>
      </c>
      <c r="CL97" s="10">
        <f t="shared" si="174"/>
        <v>0.27272727272727271</v>
      </c>
      <c r="CM97" s="10">
        <f t="shared" si="175"/>
        <v>0.27272727272727271</v>
      </c>
      <c r="CN97" s="10">
        <f t="shared" si="176"/>
        <v>0.27272727272727271</v>
      </c>
      <c r="CO97" s="10">
        <f t="shared" si="177"/>
        <v>0.27272727272727271</v>
      </c>
      <c r="CP97" s="10">
        <f t="shared" si="178"/>
        <v>0.27272727272727271</v>
      </c>
      <c r="CQ97" s="10">
        <f t="shared" si="179"/>
        <v>0.27272727272727271</v>
      </c>
      <c r="CR97" s="10">
        <f t="shared" si="180"/>
        <v>0.27272727272727271</v>
      </c>
      <c r="CS97" s="10">
        <f t="shared" si="181"/>
        <v>0.27272727272727271</v>
      </c>
      <c r="CT97" s="10">
        <f t="shared" si="182"/>
        <v>0.27272727272727271</v>
      </c>
      <c r="CU97" s="10">
        <f t="shared" si="183"/>
        <v>0.27272727272727271</v>
      </c>
      <c r="CV97" s="10">
        <f t="shared" si="184"/>
        <v>0.27272727272727271</v>
      </c>
      <c r="CW97" s="10">
        <f t="shared" si="185"/>
        <v>0.27272727272727271</v>
      </c>
      <c r="CX97" s="10">
        <f t="shared" si="186"/>
        <v>0.27272727272727271</v>
      </c>
      <c r="CY97" s="10">
        <f t="shared" si="187"/>
        <v>0.27272727272727271</v>
      </c>
      <c r="DB97" s="17"/>
      <c r="DC97" s="10">
        <f t="shared" si="188"/>
        <v>218.18181818181822</v>
      </c>
      <c r="DD97" s="10">
        <f t="shared" si="189"/>
        <v>203.84328152156655</v>
      </c>
      <c r="DE97" s="10">
        <f t="shared" si="190"/>
        <v>189.62600953646864</v>
      </c>
      <c r="DF97" s="10">
        <f t="shared" si="191"/>
        <v>175.64907004442577</v>
      </c>
      <c r="DG97" s="10">
        <f t="shared" si="192"/>
        <v>162.02721032483234</v>
      </c>
      <c r="DH97" s="10">
        <f t="shared" si="193"/>
        <v>148.86887572502252</v>
      </c>
      <c r="DI97" s="10">
        <f t="shared" si="194"/>
        <v>136.27443183817113</v>
      </c>
      <c r="DJ97" s="10">
        <f t="shared" si="195"/>
        <v>124.33464051972378</v>
      </c>
      <c r="DK97" s="10">
        <f t="shared" si="196"/>
        <v>113.12942660310368</v>
      </c>
      <c r="DL97" s="10">
        <f t="shared" si="197"/>
        <v>102.7269573337268</v>
      </c>
      <c r="DM97" s="10">
        <f t="shared" si="198"/>
        <v>93.183041291574796</v>
      </c>
      <c r="DN97" s="10">
        <f t="shared" si="199"/>
        <v>84.540838933594301</v>
      </c>
      <c r="DO97" s="10">
        <f t="shared" si="200"/>
        <v>76.830863781555607</v>
      </c>
      <c r="DP97" s="10">
        <f t="shared" si="201"/>
        <v>70.071242468132425</v>
      </c>
      <c r="DQ97" s="10">
        <f t="shared" si="202"/>
        <v>64.268193875589958</v>
      </c>
      <c r="DR97" s="10">
        <f t="shared" si="203"/>
        <v>59.416682749538623</v>
      </c>
      <c r="DS97" s="10">
        <f t="shared" si="204"/>
        <v>55.501201478330614</v>
      </c>
      <c r="DT97" s="10">
        <f t="shared" si="205"/>
        <v>52.496634986735124</v>
      </c>
      <c r="DU97" s="10">
        <f t="shared" si="206"/>
        <v>50.369167482048127</v>
      </c>
      <c r="DV97" s="10">
        <f t="shared" si="207"/>
        <v>49.077195536582551</v>
      </c>
      <c r="DW97" s="10">
        <f t="shared" si="208"/>
        <v>48.572219022961889</v>
      </c>
      <c r="DX97" s="10">
        <f t="shared" si="209"/>
        <v>48.799689040351431</v>
      </c>
      <c r="DY97" s="10">
        <f t="shared" si="210"/>
        <v>49.699799519675842</v>
      </c>
      <c r="DZ97" s="10">
        <f t="shared" si="211"/>
        <v>51.208216105494721</v>
      </c>
      <c r="EA97" s="10">
        <f t="shared" si="212"/>
        <v>53.256741748715655</v>
      </c>
      <c r="EB97" s="10">
        <f t="shared" si="213"/>
        <v>55.773922937347777</v>
      </c>
      <c r="EC97" s="10">
        <f t="shared" si="214"/>
        <v>58.685603542969979</v>
      </c>
      <c r="ED97" s="10">
        <f t="shared" si="215"/>
        <v>61.915434931786855</v>
      </c>
      <c r="EE97" s="10">
        <f t="shared" si="216"/>
        <v>65.385351481832018</v>
      </c>
      <c r="EF97" s="10">
        <f t="shared" si="217"/>
        <v>69.016020262809377</v>
      </c>
      <c r="EG97" s="10">
        <f t="shared" si="218"/>
        <v>72.727272727272734</v>
      </c>
    </row>
    <row r="98" spans="6:137" x14ac:dyDescent="0.3">
      <c r="F98" s="17"/>
      <c r="G98" s="3">
        <v>300</v>
      </c>
      <c r="H98" s="2">
        <f t="shared" si="277"/>
        <v>280.28451209215405</v>
      </c>
      <c r="I98" s="2">
        <f t="shared" si="278"/>
        <v>260.73576311264435</v>
      </c>
      <c r="J98" s="2">
        <f t="shared" si="279"/>
        <v>241.5174713110855</v>
      </c>
      <c r="K98" s="2">
        <f t="shared" si="252"/>
        <v>222.78741419664453</v>
      </c>
      <c r="L98" s="2">
        <f t="shared" si="253"/>
        <v>204.69470412190603</v>
      </c>
      <c r="M98" s="2">
        <f t="shared" si="254"/>
        <v>187.37734377748532</v>
      </c>
      <c r="N98" s="2">
        <f t="shared" si="255"/>
        <v>170.96013071462022</v>
      </c>
      <c r="O98" s="2">
        <f t="shared" si="256"/>
        <v>155.55296157926756</v>
      </c>
      <c r="P98" s="2">
        <f t="shared" si="257"/>
        <v>141.24956633387438</v>
      </c>
      <c r="Q98" s="2">
        <f t="shared" si="258"/>
        <v>128.12668177591536</v>
      </c>
      <c r="R98" s="2">
        <f t="shared" si="259"/>
        <v>116.24365353369218</v>
      </c>
      <c r="S98" s="2">
        <f t="shared" si="260"/>
        <v>105.64243769963896</v>
      </c>
      <c r="T98" s="2">
        <f t="shared" si="261"/>
        <v>96.34795839368212</v>
      </c>
      <c r="U98" s="2">
        <f t="shared" si="262"/>
        <v>88.368766578936203</v>
      </c>
      <c r="V98" s="2">
        <f t="shared" si="263"/>
        <v>81.697938780615615</v>
      </c>
      <c r="W98" s="2">
        <f t="shared" si="264"/>
        <v>76.314152032704598</v>
      </c>
      <c r="X98" s="2">
        <f t="shared" si="265"/>
        <v>72.182873106760809</v>
      </c>
      <c r="Y98" s="2">
        <f t="shared" si="266"/>
        <v>69.257605287816176</v>
      </c>
      <c r="Z98" s="2">
        <f t="shared" si="267"/>
        <v>67.481143862801019</v>
      </c>
      <c r="AA98" s="2">
        <f t="shared" si="268"/>
        <v>66.786801156572594</v>
      </c>
      <c r="AB98" s="2">
        <f t="shared" si="269"/>
        <v>67.099572430483221</v>
      </c>
      <c r="AC98" s="2">
        <f t="shared" si="270"/>
        <v>68.337224339554282</v>
      </c>
      <c r="AD98" s="2">
        <f t="shared" si="271"/>
        <v>70.411297145055244</v>
      </c>
      <c r="AE98" s="2">
        <f t="shared" si="272"/>
        <v>73.228019904484043</v>
      </c>
      <c r="AF98" s="2">
        <f t="shared" si="273"/>
        <v>76.6891440388532</v>
      </c>
      <c r="AG98" s="2">
        <f t="shared" si="274"/>
        <v>80.692704871583743</v>
      </c>
      <c r="AH98" s="2">
        <f t="shared" si="275"/>
        <v>85.133723031206941</v>
      </c>
      <c r="AI98" s="2">
        <f t="shared" si="276"/>
        <v>89.904858287519048</v>
      </c>
      <c r="AJ98" s="2">
        <f t="shared" si="221"/>
        <v>94.897027861362915</v>
      </c>
      <c r="AK98" s="2">
        <v>100</v>
      </c>
      <c r="AM98" s="17"/>
      <c r="AN98" s="10">
        <f t="shared" si="220"/>
        <v>-2483999999.9999995</v>
      </c>
      <c r="AO98" s="10">
        <f t="shared" si="237"/>
        <v>-2320755760.1230345</v>
      </c>
      <c r="AP98" s="10">
        <f t="shared" si="238"/>
        <v>-2158892118.5726948</v>
      </c>
      <c r="AQ98" s="10">
        <f t="shared" si="239"/>
        <v>-1999764662.4557874</v>
      </c>
      <c r="AR98" s="10">
        <f t="shared" si="240"/>
        <v>-1844679789.5482166</v>
      </c>
      <c r="AS98" s="10">
        <f t="shared" si="241"/>
        <v>-1694872150.1293817</v>
      </c>
      <c r="AT98" s="10">
        <f t="shared" si="242"/>
        <v>-1551484406.4775782</v>
      </c>
      <c r="AU98" s="10">
        <f t="shared" si="243"/>
        <v>-1415549882.3170552</v>
      </c>
      <c r="AV98" s="10">
        <f t="shared" si="244"/>
        <v>-1287978521.8763351</v>
      </c>
      <c r="AW98" s="10">
        <f t="shared" si="245"/>
        <v>-1169546409.2444797</v>
      </c>
      <c r="AX98" s="10">
        <f t="shared" si="246"/>
        <v>-1060888925.104579</v>
      </c>
      <c r="AY98" s="10">
        <f t="shared" si="247"/>
        <v>-962497451.25897098</v>
      </c>
      <c r="AZ98" s="10">
        <f t="shared" si="248"/>
        <v>-874719384.15301037</v>
      </c>
      <c r="BA98" s="10">
        <f t="shared" si="249"/>
        <v>-797761095.49968767</v>
      </c>
      <c r="BB98" s="10">
        <f t="shared" si="250"/>
        <v>-731693387.27359152</v>
      </c>
      <c r="BC98" s="10">
        <f t="shared" si="251"/>
        <v>-676458933.10349715</v>
      </c>
      <c r="BD98" s="10">
        <f t="shared" si="222"/>
        <v>-631881178.83079386</v>
      </c>
      <c r="BE98" s="10">
        <f t="shared" si="223"/>
        <v>-597674189.32397938</v>
      </c>
      <c r="BF98" s="10">
        <f t="shared" si="224"/>
        <v>-573452971.78311777</v>
      </c>
      <c r="BG98" s="10">
        <f t="shared" si="225"/>
        <v>-558743871.18399227</v>
      </c>
      <c r="BH98" s="10">
        <f t="shared" si="226"/>
        <v>-552994713.5764209</v>
      </c>
      <c r="BI98" s="10">
        <f t="shared" si="227"/>
        <v>-555584459.724401</v>
      </c>
      <c r="BJ98" s="10">
        <f t="shared" si="228"/>
        <v>-565832217.53150928</v>
      </c>
      <c r="BK98" s="10">
        <f t="shared" si="229"/>
        <v>-583005540.3610574</v>
      </c>
      <c r="BL98" s="10">
        <f t="shared" si="230"/>
        <v>-606328004.80912769</v>
      </c>
      <c r="BM98" s="10">
        <f t="shared" si="231"/>
        <v>-634986112.64170432</v>
      </c>
      <c r="BN98" s="10">
        <f t="shared" si="232"/>
        <v>-668135596.33671319</v>
      </c>
      <c r="BO98" s="10">
        <f t="shared" si="233"/>
        <v>-704907226.69839334</v>
      </c>
      <c r="BP98" s="10">
        <f t="shared" si="234"/>
        <v>-744412226.62065756</v>
      </c>
      <c r="BQ98" s="10">
        <f t="shared" si="235"/>
        <v>-785747390.69208479</v>
      </c>
      <c r="BR98" s="10">
        <f t="shared" si="236"/>
        <v>-827999999.99999988</v>
      </c>
      <c r="BT98" s="17"/>
      <c r="BU98" s="10">
        <f>$C$16/($C$17-BU99*$C$18)</f>
        <v>0.33333333333333337</v>
      </c>
      <c r="BV98" s="10">
        <f>$C$16/($C$17-BV99*$C$18)</f>
        <v>0.33333333333333337</v>
      </c>
      <c r="BW98" s="10">
        <f t="shared" ref="BW98:CY98" si="280">$C$16/($C$17-BW99*$C$18)</f>
        <v>0.33333333333333337</v>
      </c>
      <c r="BX98" s="10">
        <f t="shared" si="280"/>
        <v>0.33333333333333337</v>
      </c>
      <c r="BY98" s="10">
        <f t="shared" si="280"/>
        <v>0.33333333333333337</v>
      </c>
      <c r="BZ98" s="10">
        <f t="shared" si="280"/>
        <v>0.33333333333333337</v>
      </c>
      <c r="CA98" s="10">
        <f t="shared" si="280"/>
        <v>0.33333333333333337</v>
      </c>
      <c r="CB98" s="10">
        <f t="shared" si="280"/>
        <v>0.33333333333333337</v>
      </c>
      <c r="CC98" s="10">
        <f t="shared" si="280"/>
        <v>0.33333333333333337</v>
      </c>
      <c r="CD98" s="10">
        <f t="shared" si="280"/>
        <v>0.33333333333333337</v>
      </c>
      <c r="CE98" s="10">
        <f t="shared" si="280"/>
        <v>0.33333333333333337</v>
      </c>
      <c r="CF98" s="10">
        <f t="shared" si="280"/>
        <v>0.33333333333333337</v>
      </c>
      <c r="CG98" s="10">
        <f t="shared" si="280"/>
        <v>0.33333333333333337</v>
      </c>
      <c r="CH98" s="10">
        <f t="shared" si="280"/>
        <v>0.33333333333333337</v>
      </c>
      <c r="CI98" s="10">
        <f t="shared" si="280"/>
        <v>0.33333333333333337</v>
      </c>
      <c r="CJ98" s="10">
        <f t="shared" si="280"/>
        <v>0.33333333333333337</v>
      </c>
      <c r="CK98" s="10">
        <f t="shared" si="280"/>
        <v>0.33333333333333337</v>
      </c>
      <c r="CL98" s="10">
        <f t="shared" si="280"/>
        <v>0.33333333333333337</v>
      </c>
      <c r="CM98" s="10">
        <f t="shared" si="280"/>
        <v>0.33333333333333337</v>
      </c>
      <c r="CN98" s="10">
        <f t="shared" si="280"/>
        <v>0.33333333333333337</v>
      </c>
      <c r="CO98" s="10">
        <f t="shared" si="280"/>
        <v>0.33333333333333337</v>
      </c>
      <c r="CP98" s="10">
        <f t="shared" si="280"/>
        <v>0.33333333333333337</v>
      </c>
      <c r="CQ98" s="10">
        <f t="shared" si="280"/>
        <v>0.33333333333333337</v>
      </c>
      <c r="CR98" s="10">
        <f t="shared" si="280"/>
        <v>0.33333333333333337</v>
      </c>
      <c r="CS98" s="10">
        <f t="shared" si="280"/>
        <v>0.33333333333333337</v>
      </c>
      <c r="CT98" s="10">
        <f t="shared" si="280"/>
        <v>0.33333333333333337</v>
      </c>
      <c r="CU98" s="10">
        <f t="shared" si="280"/>
        <v>0.33333333333333337</v>
      </c>
      <c r="CV98" s="10">
        <f t="shared" si="280"/>
        <v>0.33333333333333337</v>
      </c>
      <c r="CW98" s="10">
        <f t="shared" si="280"/>
        <v>0.33333333333333337</v>
      </c>
      <c r="CX98" s="10">
        <f t="shared" si="280"/>
        <v>0.33333333333333337</v>
      </c>
      <c r="CY98" s="10">
        <f t="shared" si="280"/>
        <v>0.33333333333333337</v>
      </c>
      <c r="DB98" s="17"/>
      <c r="DC98" s="10">
        <f>(DC99*$C$18-AN98)/($C$17-$C$18*BU99)</f>
        <v>200.00000000000003</v>
      </c>
      <c r="DD98" s="10">
        <f>(DD99*$C$18-AO98)/($C$17-$C$18*BV99)</f>
        <v>186.85634139476934</v>
      </c>
      <c r="DE98" s="10">
        <f>(DE99*$C$18-AP98)/($C$17-$C$18*BW99)</f>
        <v>173.82384207509625</v>
      </c>
      <c r="DF98" s="10">
        <f t="shared" ref="DE98:EG98" si="281">(DF99*$C$18-AQ98)/($C$17-$C$18*BX99)</f>
        <v>161.01164754072369</v>
      </c>
      <c r="DG98" s="10">
        <f t="shared" si="281"/>
        <v>148.52494279776306</v>
      </c>
      <c r="DH98" s="10">
        <f t="shared" si="281"/>
        <v>136.4631360812707</v>
      </c>
      <c r="DI98" s="10">
        <f t="shared" si="281"/>
        <v>124.91822918499022</v>
      </c>
      <c r="DJ98" s="10">
        <f t="shared" si="281"/>
        <v>113.97342047641349</v>
      </c>
      <c r="DK98" s="10">
        <f t="shared" si="281"/>
        <v>103.70197438617838</v>
      </c>
      <c r="DL98" s="10">
        <f t="shared" si="281"/>
        <v>94.16637755591627</v>
      </c>
      <c r="DM98" s="10">
        <f t="shared" si="281"/>
        <v>85.417787850610253</v>
      </c>
      <c r="DN98" s="10">
        <f t="shared" si="281"/>
        <v>77.495769022461459</v>
      </c>
      <c r="DO98" s="10">
        <f t="shared" si="281"/>
        <v>70.428291799759307</v>
      </c>
      <c r="DP98" s="10">
        <f t="shared" si="281"/>
        <v>64.231972262454747</v>
      </c>
      <c r="DQ98" s="10">
        <f t="shared" si="281"/>
        <v>58.912511052624133</v>
      </c>
      <c r="DR98" s="10">
        <f t="shared" si="281"/>
        <v>54.465292520410415</v>
      </c>
      <c r="DS98" s="10">
        <f t="shared" si="281"/>
        <v>50.876101355136399</v>
      </c>
      <c r="DT98" s="10">
        <f t="shared" si="281"/>
        <v>48.121915404507213</v>
      </c>
      <c r="DU98" s="10">
        <f t="shared" si="281"/>
        <v>46.171736858544115</v>
      </c>
      <c r="DV98" s="10">
        <f t="shared" si="281"/>
        <v>44.987429241867346</v>
      </c>
      <c r="DW98" s="10">
        <f t="shared" si="281"/>
        <v>44.524534104381729</v>
      </c>
      <c r="DX98" s="10">
        <f t="shared" si="281"/>
        <v>44.733048286988819</v>
      </c>
      <c r="DY98" s="10">
        <f t="shared" si="281"/>
        <v>45.558149559702855</v>
      </c>
      <c r="DZ98" s="10">
        <f t="shared" si="281"/>
        <v>46.940864763370172</v>
      </c>
      <c r="EA98" s="10">
        <f t="shared" si="281"/>
        <v>48.818679936322695</v>
      </c>
      <c r="EB98" s="10">
        <f t="shared" si="281"/>
        <v>51.126096025902136</v>
      </c>
      <c r="EC98" s="10">
        <f t="shared" si="281"/>
        <v>53.795136581055829</v>
      </c>
      <c r="ED98" s="10">
        <f t="shared" si="281"/>
        <v>56.755815354137965</v>
      </c>
      <c r="EE98" s="10">
        <f t="shared" si="281"/>
        <v>59.936572191679367</v>
      </c>
      <c r="EF98" s="10">
        <f t="shared" si="281"/>
        <v>63.264685240908619</v>
      </c>
      <c r="EG98" s="10">
        <f t="shared" si="281"/>
        <v>66.666666666666671</v>
      </c>
    </row>
    <row r="99" spans="6:137" x14ac:dyDescent="0.3">
      <c r="F99" s="17"/>
      <c r="G99" s="3">
        <v>300</v>
      </c>
      <c r="H99" s="2">
        <f t="shared" si="277"/>
        <v>280.28451209215405</v>
      </c>
      <c r="I99" s="2">
        <f t="shared" si="278"/>
        <v>260.73576311264435</v>
      </c>
      <c r="J99" s="2">
        <f t="shared" si="279"/>
        <v>241.5174713110855</v>
      </c>
      <c r="K99" s="2">
        <f t="shared" si="252"/>
        <v>222.78741419664453</v>
      </c>
      <c r="L99" s="2">
        <f t="shared" si="253"/>
        <v>204.69470412190603</v>
      </c>
      <c r="M99" s="2">
        <f t="shared" si="254"/>
        <v>187.37734377748532</v>
      </c>
      <c r="N99" s="2">
        <f t="shared" si="255"/>
        <v>170.96013071462022</v>
      </c>
      <c r="O99" s="2">
        <f t="shared" si="256"/>
        <v>155.55296157926756</v>
      </c>
      <c r="P99" s="2">
        <f t="shared" si="257"/>
        <v>141.24956633387438</v>
      </c>
      <c r="Q99" s="2">
        <f t="shared" si="258"/>
        <v>128.12668177591536</v>
      </c>
      <c r="R99" s="2">
        <f t="shared" si="259"/>
        <v>116.24365353369218</v>
      </c>
      <c r="S99" s="2">
        <f t="shared" si="260"/>
        <v>105.64243769963896</v>
      </c>
      <c r="T99" s="2">
        <f t="shared" si="261"/>
        <v>96.34795839368212</v>
      </c>
      <c r="U99" s="2">
        <f t="shared" si="262"/>
        <v>88.368766578936203</v>
      </c>
      <c r="V99" s="2">
        <f t="shared" si="263"/>
        <v>81.697938780615615</v>
      </c>
      <c r="W99" s="2">
        <f t="shared" si="264"/>
        <v>76.314152032704598</v>
      </c>
      <c r="X99" s="2">
        <f t="shared" si="265"/>
        <v>72.182873106760809</v>
      </c>
      <c r="Y99" s="2">
        <f t="shared" si="266"/>
        <v>69.257605287816176</v>
      </c>
      <c r="Z99" s="2">
        <f t="shared" si="267"/>
        <v>67.481143862801019</v>
      </c>
      <c r="AA99" s="2">
        <f t="shared" si="268"/>
        <v>66.786801156572594</v>
      </c>
      <c r="AB99" s="2">
        <f t="shared" si="269"/>
        <v>67.099572430483221</v>
      </c>
      <c r="AC99" s="2">
        <f t="shared" si="270"/>
        <v>68.337224339554282</v>
      </c>
      <c r="AD99" s="2">
        <f t="shared" si="271"/>
        <v>70.411297145055244</v>
      </c>
      <c r="AE99" s="2">
        <f t="shared" si="272"/>
        <v>73.228019904484043</v>
      </c>
      <c r="AF99" s="2">
        <f t="shared" si="273"/>
        <v>76.6891440388532</v>
      </c>
      <c r="AG99" s="2">
        <f t="shared" si="274"/>
        <v>80.692704871583743</v>
      </c>
      <c r="AH99" s="2">
        <f t="shared" si="275"/>
        <v>85.133723031206941</v>
      </c>
      <c r="AI99" s="2">
        <f t="shared" si="276"/>
        <v>89.904858287519048</v>
      </c>
      <c r="AJ99" s="2">
        <f t="shared" si="221"/>
        <v>94.897027861362915</v>
      </c>
      <c r="AK99" s="2">
        <v>100</v>
      </c>
      <c r="AM99" s="17"/>
      <c r="AN99" s="10">
        <f t="shared" si="220"/>
        <v>-2483999999.9999995</v>
      </c>
      <c r="AO99" s="10">
        <f t="shared" si="237"/>
        <v>-2320755760.1230345</v>
      </c>
      <c r="AP99" s="10">
        <f t="shared" si="238"/>
        <v>-2158892118.5726948</v>
      </c>
      <c r="AQ99" s="10">
        <f t="shared" si="239"/>
        <v>-1999764662.4557874</v>
      </c>
      <c r="AR99" s="10">
        <f t="shared" si="240"/>
        <v>-1844679789.5482166</v>
      </c>
      <c r="AS99" s="10">
        <f t="shared" si="241"/>
        <v>-1694872150.1293817</v>
      </c>
      <c r="AT99" s="10">
        <f t="shared" si="242"/>
        <v>-1551484406.4775782</v>
      </c>
      <c r="AU99" s="10">
        <f t="shared" si="243"/>
        <v>-1415549882.3170552</v>
      </c>
      <c r="AV99" s="10">
        <f t="shared" si="244"/>
        <v>-1287978521.8763351</v>
      </c>
      <c r="AW99" s="10">
        <f t="shared" si="245"/>
        <v>-1169546409.2444797</v>
      </c>
      <c r="AX99" s="10">
        <f t="shared" si="246"/>
        <v>-1060888925.104579</v>
      </c>
      <c r="AY99" s="10">
        <f t="shared" si="247"/>
        <v>-962497451.25897098</v>
      </c>
      <c r="AZ99" s="10">
        <f t="shared" si="248"/>
        <v>-874719384.15301037</v>
      </c>
      <c r="BA99" s="10">
        <f t="shared" si="249"/>
        <v>-797761095.49968767</v>
      </c>
      <c r="BB99" s="10">
        <f t="shared" si="250"/>
        <v>-731693387.27359152</v>
      </c>
      <c r="BC99" s="10">
        <f t="shared" si="251"/>
        <v>-676458933.10349715</v>
      </c>
      <c r="BD99" s="10">
        <f t="shared" si="222"/>
        <v>-631881178.83079386</v>
      </c>
      <c r="BE99" s="10">
        <f t="shared" si="223"/>
        <v>-597674189.32397938</v>
      </c>
      <c r="BF99" s="10">
        <f t="shared" si="224"/>
        <v>-573452971.78311777</v>
      </c>
      <c r="BG99" s="10">
        <f t="shared" si="225"/>
        <v>-558743871.18399227</v>
      </c>
      <c r="BH99" s="10">
        <f t="shared" si="226"/>
        <v>-552994713.5764209</v>
      </c>
      <c r="BI99" s="10">
        <f t="shared" si="227"/>
        <v>-555584459.724401</v>
      </c>
      <c r="BJ99" s="10">
        <f t="shared" si="228"/>
        <v>-565832217.53150928</v>
      </c>
      <c r="BK99" s="10">
        <f t="shared" si="229"/>
        <v>-583005540.3610574</v>
      </c>
      <c r="BL99" s="10">
        <f t="shared" si="230"/>
        <v>-606328004.80912769</v>
      </c>
      <c r="BM99" s="10">
        <f t="shared" si="231"/>
        <v>-634986112.64170432</v>
      </c>
      <c r="BN99" s="10">
        <f t="shared" si="232"/>
        <v>-668135596.33671319</v>
      </c>
      <c r="BO99" s="10">
        <f t="shared" si="233"/>
        <v>-704907226.69839334</v>
      </c>
      <c r="BP99" s="10">
        <f t="shared" si="234"/>
        <v>-744412226.62065756</v>
      </c>
      <c r="BQ99" s="10">
        <f t="shared" si="235"/>
        <v>-785747390.69208479</v>
      </c>
      <c r="BR99" s="10">
        <f t="shared" si="236"/>
        <v>-827999999.99999988</v>
      </c>
      <c r="BT99" s="17"/>
      <c r="BU99" s="10">
        <v>1</v>
      </c>
      <c r="BV99" s="10">
        <v>1</v>
      </c>
      <c r="BW99" s="10">
        <v>1</v>
      </c>
      <c r="BX99" s="10">
        <v>1</v>
      </c>
      <c r="BY99" s="10">
        <v>1</v>
      </c>
      <c r="BZ99" s="10">
        <v>1</v>
      </c>
      <c r="CA99" s="10">
        <v>1</v>
      </c>
      <c r="CB99" s="10">
        <v>1</v>
      </c>
      <c r="CC99" s="10">
        <v>1</v>
      </c>
      <c r="CD99" s="10">
        <v>1</v>
      </c>
      <c r="CE99" s="10">
        <v>1</v>
      </c>
      <c r="CF99" s="10">
        <v>1</v>
      </c>
      <c r="CG99" s="10">
        <v>1</v>
      </c>
      <c r="CH99" s="10">
        <v>1</v>
      </c>
      <c r="CI99" s="10">
        <v>1</v>
      </c>
      <c r="CJ99" s="10">
        <v>1</v>
      </c>
      <c r="CK99" s="10">
        <v>1</v>
      </c>
      <c r="CL99" s="10">
        <v>1</v>
      </c>
      <c r="CM99" s="10">
        <v>1</v>
      </c>
      <c r="CN99" s="10">
        <v>1</v>
      </c>
      <c r="CO99" s="10">
        <v>1</v>
      </c>
      <c r="CP99" s="10">
        <v>1</v>
      </c>
      <c r="CQ99" s="10">
        <v>1</v>
      </c>
      <c r="CR99" s="10">
        <v>1</v>
      </c>
      <c r="CS99" s="10">
        <v>1</v>
      </c>
      <c r="CT99" s="10">
        <v>1</v>
      </c>
      <c r="CU99" s="10">
        <v>1</v>
      </c>
      <c r="CV99" s="10">
        <v>1</v>
      </c>
      <c r="CW99" s="10">
        <v>1</v>
      </c>
      <c r="CX99" s="10">
        <v>1</v>
      </c>
      <c r="CY99" s="10">
        <v>1</v>
      </c>
      <c r="DB99" s="17"/>
      <c r="DC99" s="10">
        <v>0</v>
      </c>
      <c r="DD99" s="10">
        <v>0</v>
      </c>
      <c r="DE99" s="10">
        <v>0</v>
      </c>
      <c r="DF99" s="10">
        <v>0</v>
      </c>
      <c r="DG99" s="10">
        <v>0</v>
      </c>
      <c r="DH99" s="10">
        <v>0</v>
      </c>
      <c r="DI99" s="10">
        <v>0</v>
      </c>
      <c r="DJ99" s="10">
        <v>0</v>
      </c>
      <c r="DK99" s="10">
        <v>0</v>
      </c>
      <c r="DL99" s="10">
        <v>0</v>
      </c>
      <c r="DM99" s="10">
        <v>0</v>
      </c>
      <c r="DN99" s="10">
        <v>0</v>
      </c>
      <c r="DO99" s="10">
        <v>0</v>
      </c>
      <c r="DP99" s="10">
        <v>0</v>
      </c>
      <c r="DQ99" s="10">
        <v>0</v>
      </c>
      <c r="DR99" s="10">
        <v>0</v>
      </c>
      <c r="DS99" s="10">
        <v>0</v>
      </c>
      <c r="DT99" s="10">
        <v>0</v>
      </c>
      <c r="DU99" s="10">
        <v>0</v>
      </c>
      <c r="DV99" s="10">
        <v>0</v>
      </c>
      <c r="DW99" s="10">
        <v>0</v>
      </c>
      <c r="DX99" s="10">
        <v>0</v>
      </c>
      <c r="DY99" s="10">
        <v>0</v>
      </c>
      <c r="DZ99" s="10">
        <v>0</v>
      </c>
      <c r="EA99" s="10">
        <v>0</v>
      </c>
      <c r="EB99" s="10">
        <v>0</v>
      </c>
      <c r="EC99" s="10">
        <v>0</v>
      </c>
      <c r="ED99" s="10">
        <v>0</v>
      </c>
      <c r="EE99" s="10">
        <v>0</v>
      </c>
      <c r="EF99" s="10">
        <v>0</v>
      </c>
      <c r="EG99" s="10">
        <v>0</v>
      </c>
    </row>
  </sheetData>
  <mergeCells count="11">
    <mergeCell ref="BT35:BT65"/>
    <mergeCell ref="DB35:DB65"/>
    <mergeCell ref="F69:F99"/>
    <mergeCell ref="AM69:AM99"/>
    <mergeCell ref="BT69:BT99"/>
    <mergeCell ref="DB69:DB99"/>
    <mergeCell ref="A12:A14"/>
    <mergeCell ref="A16:A18"/>
    <mergeCell ref="A20:A21"/>
    <mergeCell ref="F35:F65"/>
    <mergeCell ref="AM35:AM65"/>
  </mergeCells>
  <conditionalFormatting sqref="G3:AK33">
    <cfRule type="colorScale" priority="4">
      <colorScale>
        <cfvo type="min"/>
        <cfvo type="percentile" val="50"/>
        <cfvo type="max"/>
        <color rgb="FF140CBC"/>
        <color rgb="FFFFEB84"/>
        <color rgb="FFFF0000"/>
      </colorScale>
    </cfRule>
  </conditionalFormatting>
  <conditionalFormatting sqref="G35:AK65">
    <cfRule type="colorScale" priority="3">
      <colorScale>
        <cfvo type="min"/>
        <cfvo type="percentile" val="50"/>
        <cfvo type="max"/>
        <color theme="4" tint="0.79998168889431442"/>
        <color rgb="FFFFEB84"/>
        <color rgb="FFFE9C9C"/>
      </colorScale>
    </cfRule>
  </conditionalFormatting>
  <conditionalFormatting sqref="G70:AK99">
    <cfRule type="colorScale" priority="2">
      <colorScale>
        <cfvo type="min"/>
        <cfvo type="percentile" val="50"/>
        <cfvo type="max"/>
        <color rgb="FFFE9C9C"/>
        <color rgb="FFFFEB84"/>
        <color theme="4" tint="0.59999389629810485"/>
      </colorScale>
    </cfRule>
    <cfRule type="colorScale" priority="1">
      <colorScale>
        <cfvo type="min"/>
        <cfvo type="percentile" val="50"/>
        <cfvo type="max"/>
        <color theme="8" tint="0.59999389629810485"/>
        <color rgb="FFFFEB84"/>
        <color rgb="FFFE9C9C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heck_2">
                <anchor moveWithCells="1" sizeWithCells="1">
                  <from>
                    <xdr:col>0</xdr:col>
                    <xdr:colOff>236220</xdr:colOff>
                    <xdr:row>22</xdr:row>
                    <xdr:rowOff>91440</xdr:rowOff>
                  </from>
                  <to>
                    <xdr:col>4</xdr:col>
                    <xdr:colOff>175260</xdr:colOff>
                    <xdr:row>27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2021-04-06T04:13:51Z</dcterms:created>
  <dcterms:modified xsi:type="dcterms:W3CDTF">2021-04-20T05:22:59Z</dcterms:modified>
</cp:coreProperties>
</file>